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11448f300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章节总览" sheetId="1" r:id="R3fe6e29c185a47cb"/>
    <x:sheet xmlns:r="http://schemas.openxmlformats.org/officeDocument/2006/relationships" name="场景节点" sheetId="2" r:id="Ra273d34aa8074b90"/>
    <x:sheet xmlns:r="http://schemas.openxmlformats.org/officeDocument/2006/relationships" name="对白" sheetId="3" r:id="R19438637b0cd4c59"/>
    <x:sheet xmlns:r="http://schemas.openxmlformats.org/officeDocument/2006/relationships" name="选项与结果" sheetId="4" r:id="R51c6ff56d5234d02"/>
    <x:sheet xmlns:r="http://schemas.openxmlformats.org/officeDocument/2006/relationships" name="奖励与消耗" sheetId="5" r:id="R69501845c4614032"/>
    <x:sheet xmlns:r="http://schemas.openxmlformats.org/officeDocument/2006/relationships" name="原文场景" sheetId="6" r:id="Rd4dfc3f89a7e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DDE9E2"/>
      <x:name val="Carlito"/>
    </x:font>
    <x:font>
      <x:b/>
      <x:sz val="11"/>
      <x:color rgb="FF66776F"/>
      <x:name val="Carlito"/>
    </x:font>
    <x:font>
      <x:b/>
      <x:sz val="16"/>
      <x:color rgb="FF17352B"/>
      <x:name val="Carlito"/>
    </x:font>
    <x:font>
      <x:b/>
      <x:sz val="11"/>
      <x:color rgb="FF76562F"/>
      <x:name val="Carlito"/>
    </x:font>
    <x:font>
      <x:b/>
      <x:sz val="16"/>
      <x:color rgb="FF76562F"/>
      <x:name val="Carlito"/>
    </x:font>
    <x:font>
      <x:b/>
      <x:sz val="11"/>
      <x:color rgb="FFFFFFFF"/>
      <x:name val="Carlito"/>
    </x:font>
    <x:font>
      <x:sz val="9"/>
      <x:color rgb="FF20332B"/>
      <x:name val="Carlito"/>
    </x:font>
    <x:font>
      <x:sz val="9"/>
      <x:color rgb="FF66776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52B"/>
      </x:patternFill>
    </x:fill>
    <x:fill>
      <x:patternFill patternType="solid">
        <x:fgColor rgb="FF285646"/>
      </x:patternFill>
    </x:fill>
    <x:fill>
      <x:patternFill patternType="solid">
        <x:fgColor rgb="FFE8F0EB"/>
      </x:patternFill>
    </x:fill>
    <x:fill>
      <x:patternFill patternType="solid">
        <x:fgColor rgb="FFFFFFFF"/>
      </x:patternFill>
    </x:fill>
    <x:fill>
      <x:patternFill patternType="solid">
        <x:fgColor rgb="FFF5E8D3"/>
      </x:patternFill>
    </x:fill>
    <x:fill>
      <x:patternFill patternType="solid">
        <x:fgColor rgb="FFF7F8F4"/>
      </x:patternFill>
    </x:fill>
  </x:fills>
  <x:borders count="18">
    <x:border/>
    <x:border>
      <x:left style="thin">
        <x:color rgb="FFCAD6CF"/>
      </x:left>
      <x:top style="thin">
        <x:color rgb="FFCAD6CF"/>
      </x:top>
      <x:bottom style="thin">
        <x:color rgb="FFCAD6CF"/>
      </x:bottom>
    </x:border>
    <x:border>
      <x:top style="thin">
        <x:color rgb="FFCAD6CF"/>
      </x:top>
      <x:bottom style="thin">
        <x:color rgb="FFCAD6CF"/>
      </x:bottom>
    </x:border>
    <x:border>
      <x:right style="thin">
        <x:color rgb="FFCAD6CF"/>
      </x:right>
      <x:top style="thin">
        <x:color rgb="FFCAD6CF"/>
      </x:top>
      <x:bottom style="thin">
        <x:color rgb="FFCAD6CF"/>
      </x:bottom>
    </x:border>
    <x:border>
      <x:left style="thin">
        <x:color rgb="FFD7BE96"/>
      </x:left>
      <x:top style="thin">
        <x:color rgb="FFD7BE96"/>
      </x:top>
      <x:bottom style="thin">
        <x:color rgb="FFD7BE96"/>
      </x:bottom>
    </x:border>
    <x:border>
      <x:top style="thin">
        <x:color rgb="FFD7BE96"/>
      </x:top>
      <x:bottom style="thin">
        <x:color rgb="FFD7BE96"/>
      </x:bottom>
    </x:border>
    <x:border>
      <x:right style="thin">
        <x:color rgb="FFD7BE96"/>
      </x:right>
      <x:top style="thin">
        <x:color rgb="FFD7BE96"/>
      </x:top>
      <x:bottom style="thin">
        <x:color rgb="FFD7BE96"/>
      </x:bottom>
    </x:border>
    <x:border>
      <x:left style="thin">
        <x:color rgb="FF17352B"/>
      </x:left>
      <x:top style="thin">
        <x:color rgb="FF17352B"/>
      </x:top>
      <x:bottom style="thin">
        <x:color rgb="FF17352B"/>
      </x:bottom>
    </x:border>
    <x:border>
      <x:top style="thin">
        <x:color rgb="FF17352B"/>
      </x:top>
      <x:bottom style="thin">
        <x:color rgb="FF17352B"/>
      </x:bottom>
    </x:border>
    <x:border>
      <x:right style="thin">
        <x:color rgb="FF17352B"/>
      </x:right>
      <x:top style="thin">
        <x:color rgb="FF17352B"/>
      </x:top>
      <x:bottom style="thin">
        <x:color rgb="FF17352B"/>
      </x:bottom>
    </x:border>
    <x:border>
      <x:bottom style="thin">
        <x:color rgb="FFCAD6CF"/>
      </x:bottom>
    </x:border>
    <x:border>
      <x:top style="thin">
        <x:color rgb="FFCAD6CF"/>
      </x:top>
    </x:border>
    <x:border>
      <x:left style="thin">
        <x:color rgb="FFCAD6CF"/>
      </x:left>
      <x:top style="thin">
        <x:color rgb="FFCAD6CF"/>
      </x:top>
    </x:border>
    <x:border>
      <x:right style="thin">
        <x:color rgb="FFCAD6CF"/>
      </x:right>
      <x:top style="thin">
        <x:color rgb="FFCAD6CF"/>
      </x:top>
    </x:border>
    <x:border>
      <x:left style="thin">
        <x:color rgb="FFCAD6CF"/>
      </x:left>
    </x:border>
    <x:border>
      <x:right style="thin">
        <x:color rgb="FFCAD6CF"/>
      </x:right>
    </x:border>
    <x:border>
      <x:left style="thin">
        <x:color rgb="FFCAD6CF"/>
      </x:left>
      <x:bottom style="thin">
        <x:color rgb="FFCAD6CF"/>
      </x:bottom>
    </x:border>
    <x:border>
      <x:right style="thin">
        <x:color rgb="FFCAD6CF"/>
      </x:right>
      <x:bottom style="thin">
        <x:color rgb="FFCAD6CF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horizontal="center"/>
    </x:xf>
    <x:xf numFmtId="0" fontId="6" fillId="5" borderId="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7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horizontal="center" wrapText="1"/>
    </x:xf>
    <x:xf numFmtId="0" fontId="7" fillId="3" borderId="8" xfId="0" applyNumberFormat="1" applyFont="1" applyFill="1" applyBorder="1" applyAlignment="1">
      <x:alignment horizontal="center" wrapText="1"/>
    </x:xf>
    <x:xf numFmtId="0" fontId="7" fillId="3" borderId="9" xfId="0" applyNumberFormat="1" applyFont="1" applyFill="1" applyBorder="1" applyAlignment="1">
      <x:alignment horizontal="center" wrapText="1"/>
    </x:xf>
    <x:xf numFmtId="0" fontId="7" fillId="3" borderId="7" xfId="0" applyNumberFormat="1" applyFont="1" applyFill="1" applyBorder="1" applyAlignment="1">
      <x:alignment horizontal="center" vertical="center" wrapText="1"/>
    </x:xf>
    <x:xf numFmtId="0" fontId="7" fillId="3" borderId="8" xfId="0" applyNumberFormat="1" applyFont="1" applyFill="1" applyBorder="1" applyAlignment="1">
      <x:alignment horizontal="center" vertical="center" wrapText="1"/>
    </x:xf>
    <x:xf numFmtId="0" fontId="7" fillId="3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0" xfId="0" applyNumberFormat="1" applyFont="1" applyFill="1" applyBorder="1"/>
    <x:xf numFmtId="0" fontId="8" fillId="7" borderId="2" xfId="0" applyNumberFormat="1" applyFont="1" applyFill="1" applyBorder="1"/>
    <x:xf numFmtId="0" fontId="8" fillId="7" borderId="11" xfId="0" applyNumberFormat="1" applyFont="1" applyFill="1" applyBorder="1"/>
    <x:xf numFmtId="0" fontId="8" fillId="7" borderId="10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12" xfId="0" applyNumberFormat="1" applyFont="1" applyFill="1" applyBorder="1"/>
    <x:xf numFmtId="0" fontId="9" fillId="5" borderId="11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0" xfId="0" applyNumberFormat="1" applyFont="1" applyFill="1" applyBorder="1"/>
    <x:xf numFmtId="0" fontId="9" fillId="5" borderId="17" xfId="0" applyNumberFormat="1" applyFont="1" applyFill="1" applyBorder="1"/>
    <x:xf numFmtId="0" fontId="9" fillId="5" borderId="12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200" fontId="8" fillId="7" borderId="10" xfId="0" applyNumberFormat="1" applyFont="1" applyFill="1" applyBorder="1" applyAlignment="1">
      <x:alignment vertical="top" wrapText="1"/>
    </x:xf>
    <x:xf numFmtId="200" fontId="8" fillId="7" borderId="2" xfId="0" applyNumberFormat="1" applyFont="1" applyFill="1" applyBorder="1" applyAlignment="1">
      <x:alignment vertical="top" wrapText="1"/>
    </x:xf>
    <x:xf numFmtId="200" fontId="8" fillId="7" borderId="11" xfId="0" applyNumberFormat="1" applyFont="1" applyFill="1" applyBorder="1" applyAlignment="1">
      <x:alignment vertical="top" wrapText="1"/>
    </x:xf>
    <x:xf numFmtId="201" fontId="8" fillId="7" borderId="10" xfId="0" applyNumberFormat="1" applyFont="1" applyFill="1" applyBorder="1" applyAlignment="1">
      <x:alignment vertical="top" wrapText="1"/>
    </x:xf>
    <x:xf numFmtId="201" fontId="8" fillId="7" borderId="2" xfId="0" applyNumberFormat="1" applyFont="1" applyFill="1" applyBorder="1" applyAlignment="1">
      <x:alignment vertical="top" wrapText="1"/>
    </x:xf>
    <x:xf numFmtId="201" fontId="8" fillId="7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A95449"/>
      </x:font>
      <x:fill>
        <x:patternFill patternType="solid">
          <x:bgColor rgb="FFF8E7E4"/>
        </x:patternFill>
      </x:fill>
    </x:dxf>
    <x:dxf>
      <x:font>
        <x:b/>
        <x:color rgb="FFA95449"/>
      </x:font>
      <x:fill>
        <x:patternFill patternType="solid">
          <x:bgColor rgb="FFF8E7E4"/>
        </x:patternFill>
      </x:fill>
    </x:dxf>
    <x:dxf>
      <x:font>
        <x:color rgb="FF3D6280"/>
      </x:font>
      <x:fill>
        <x:patternFill patternType="solid">
          <x:bgColor rgb="FFE7EFF7"/>
        </x:patternFill>
      </x:fill>
    </x:dxf>
    <x:dxf>
      <x:font>
        <x:color rgb="FF285646"/>
      </x:font>
      <x:fill>
        <x:patternFill patternType="solid">
          <x:bgColor rgb="FFE8F0EB"/>
        </x:patternFill>
      </x:fill>
    </x:dxf>
    <x:dxf>
      <x:font>
        <x:b/>
        <x:color rgb="FF285646"/>
      </x:font>
      <x:fill>
        <x:patternFill patternType="solid">
          <x:bgColor rgb="FFE8F0EB"/>
        </x:patternFill>
      </x:fill>
    </x:dxf>
    <x:dxf>
      <x:font>
        <x:b/>
        <x:color rgb="FFA95449"/>
      </x:font>
      <x:fill>
        <x:patternFill patternType="solid">
          <x:bgColor rgb="FFF8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98298d57946ab" /><Relationship Type="http://schemas.openxmlformats.org/officeDocument/2006/relationships/theme" Target="/xl/theme/theme1.xml" Id="Rd6c16ae768a2407c" /><Relationship Type="http://schemas.openxmlformats.org/officeDocument/2006/relationships/sharedStrings" Target="/xl/sharedStrings.xml" Id="R74d14d37ccbc4507" /><Relationship Type="http://schemas.openxmlformats.org/officeDocument/2006/relationships/worksheet" Target="/xl/worksheets/sheet1.xml" Id="R3fe6e29c185a47cb" /><Relationship Type="http://schemas.openxmlformats.org/officeDocument/2006/relationships/worksheet" Target="/xl/worksheets/sheet2.xml" Id="Ra273d34aa8074b90" /><Relationship Type="http://schemas.openxmlformats.org/officeDocument/2006/relationships/worksheet" Target="/xl/worksheets/sheet3.xml" Id="R19438637b0cd4c59" /><Relationship Type="http://schemas.openxmlformats.org/officeDocument/2006/relationships/worksheet" Target="/xl/worksheets/sheet4.xml" Id="R51c6ff56d5234d02" /><Relationship Type="http://schemas.openxmlformats.org/officeDocument/2006/relationships/worksheet" Target="/xl/worksheets/sheet5.xml" Id="R69501845c4614032" /><Relationship Type="http://schemas.openxmlformats.org/officeDocument/2006/relationships/worksheet" Target="/xl/worksheets/sheet6.xml" Id="Rd4dfc3f89a7e4e75" /></Relationships>
</file>

<file path=xl/tables/table1.xml><?xml version="1.0" encoding="utf-8"?>
<x:table xmlns:x="http://schemas.openxmlformats.org/spreadsheetml/2006/main" id="1" name="C01SceneSummary" displayName="C01SceneSummary" ref="A8:L13" headerRowCount="1" totalsRowCount="0" totalsRowShown="0">
  <x:autoFilter ref="A8:L13"/>
  <x:tableColumns count="12">
    <x:tableColumn id="1" name="场景代码"/>
    <x:tableColumn id="2" name="场景名称"/>
    <x:tableColumn id="3" name="地图ID"/>
    <x:tableColumn id="4" name="地图名称"/>
    <x:tableColumn id="5" name="区域/坐标"/>
    <x:tableColumn id="6" name="位置依据"/>
    <x:tableColumn id="7" name="时态/玩法"/>
    <x:tableColumn id="8" name="触发条件"/>
    <x:tableColumn id="9" name="节点数"/>
    <x:tableColumn id="10" name="对白数"/>
    <x:tableColumn id="11" name="选项数"/>
    <x:tableColumn id="12" name="奖励项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01Nodes" displayName="C01Nodes" ref="A4:M47" headerRowCount="1" totalsRowCount="0" totalsRowShown="0">
  <x:autoFilter ref="A4:M47"/>
  <x:tableColumns count="13">
    <x:tableColumn id="1" name="场景"/>
    <x:tableColumn id="2" name="顺序"/>
    <x:tableColumn id="3" name="节点ID"/>
    <x:tableColumn id="4" name="节点类型"/>
    <x:tableColumn id="5" name="节点标题"/>
    <x:tableColumn id="6" name="展示内容"/>
    <x:tableColumn id="7" name="前置节点"/>
    <x:tableColumn id="8" name="后续节点"/>
    <x:tableColumn id="9" name="分支说明"/>
    <x:tableColumn id="10" name="状态变化"/>
    <x:tableColumn id="11" name="奖励数"/>
    <x:tableColumn id="12" name="消耗数"/>
    <x:tableColumn id="13" name="来源标题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01Dialogue" displayName="C01Dialogue" ref="A4:K46" headerRowCount="1" totalsRowCount="0" totalsRowShown="0">
  <x:autoFilter ref="A4:K46"/>
  <x:tableColumns count="11">
    <x:tableColumn id="1" name="场景"/>
    <x:tableColumn id="2" name="场景名"/>
    <x:tableColumn id="3" name="对白类型"/>
    <x:tableColumn id="4" name="节点"/>
    <x:tableColumn id="5" name="句序"/>
    <x:tableColumn id="6" name="说话人"/>
    <x:tableColumn id="7" name="台词"/>
    <x:tableColumn id="8" name="表情"/>
    <x:tableColumn id="9" name="字数"/>
    <x:tableColumn id="10" name="超过36字"/>
    <x:tableColumn id="11" name="来源标题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01Choices" displayName="C01Choices" ref="A4:P20" headerRowCount="1" totalsRowCount="0" totalsRowShown="0">
  <x:autoFilter ref="A4:P20"/>
  <x:tableColumns count="16">
    <x:tableColumn id="1" name="场景"/>
    <x:tableColumn id="2" name="场景名"/>
    <x:tableColumn id="3" name="选项组"/>
    <x:tableColumn id="4" name="组内序号"/>
    <x:tableColumn id="5" name="选项文案"/>
    <x:tableColumn id="6" name="类型"/>
    <x:tableColumn id="7" name="二次确认"/>
    <x:tableColumn id="8" name="检定条件"/>
    <x:tableColumn id="9" name="点击后结果"/>
    <x:tableColumn id="10" name="专属后续对白/说明"/>
    <x:tableColumn id="11" name="专属对白句数"/>
    <x:tableColumn id="12" name="后续走向"/>
    <x:tableColumn id="13" name="状态变化"/>
    <x:tableColumn id="14" name="奖励数"/>
    <x:tableColumn id="15" name="消耗数"/>
    <x:tableColumn id="16" name="来源标题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C01Rewards" displayName="C01Rewards" ref="A4:K44" headerRowCount="1" totalsRowCount="0" totalsRowShown="0">
  <x:autoFilter ref="A4:K44"/>
  <x:tableColumns count="11">
    <x:tableColumn id="1" name="场景"/>
    <x:tableColumn id="2" name="场景名"/>
    <x:tableColumn id="3" name="归属层级"/>
    <x:tableColumn id="4" name="节点"/>
    <x:tableColumn id="5" name="变更类型"/>
    <x:tableColumn id="6" name="类别"/>
    <x:tableColumn id="7" name="名称"/>
    <x:tableColumn id="8" name="数量"/>
    <x:tableColumn id="9" name="发放时机"/>
    <x:tableColumn id="10" name="原文依据"/>
    <x:tableColumn id="11" name="来源标题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01SourceSnapshots" displayName="C01SourceSnapshots" ref="A4:C9" headerRowCount="1" totalsRowCount="0" totalsRowShown="0">
  <x:autoFilter ref="A4:C9"/>
  <x:tableColumns count="3">
    <x:tableColumn id="1" name="场景"/>
    <x:tableColumn id="2" name="来源标题"/>
    <x:tableColumn id="3" name="完整原文快照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ad76e9105f49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98ba612c1e41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e25427c1d5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8d037b5d1c43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f8789b5da943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b78ee107bd4f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4.4399995803833" hidden="0" customWidth="1"/>
    <x:col min="3" max="3" width="10.5600004196167" hidden="0" customWidth="1"/>
    <x:col min="4" max="4" width="18.329999923706055" hidden="0" customWidth="1"/>
    <x:col min="5" max="5" width="16.670000076293945" hidden="0" customWidth="1"/>
    <x:col min="6" max="6" width="9.779999732971191" hidden="0" customWidth="1"/>
    <x:col min="7" max="7" width="15" hidden="0" customWidth="1"/>
    <x:col min="8" max="8" width="31.110000610351562" hidden="0" customWidth="1"/>
    <x:col min="9" max="9" width="7.21999979019165" hidden="0" customWidth="1"/>
    <x:col min="10" max="10" width="7.21999979019165" hidden="0" customWidth="1"/>
    <x:col min="11" max="11" width="7.21999979019165" hidden="0" customWidth="1"/>
    <x:col min="12" max="12" width="7.559999942779541" hidden="0" customWidth="1"/>
  </x:cols>
  <x:sheetData>
    <x:row r="1" ht="34" customHeight="1">
      <x:c r="A1" s="3" t="str">
        <x:v>昆吾剧情 C01｜山门灯灭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3" customHeight="1">
      <x:c r="A2" s="6" t="str">
        <x:v>数据版本：1.0-story-baseline.3+story-baseline.1　·　生成范围：M1-01 至 M1-05　·　位置口径：1.0剧情事实源 + 地图27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9" t="str">
        <x:v>场景数</x:v>
      </x:c>
      <x:c r="B4" s="9"/>
      <x:c r="C4" s="9" t="str">
        <x:v>节点数</x:v>
      </x:c>
      <x:c r="D4" s="9"/>
      <x:c r="E4" s="9" t="str">
        <x:v>对白记录</x:v>
      </x:c>
      <x:c r="F4" s="9"/>
      <x:c r="G4" s="9" t="str">
        <x:v>选项/检定</x:v>
      </x:c>
      <x:c r="H4" s="9"/>
      <x:c r="J4" s="20" t="str">
        <x:v>场景级明确奖励</x:v>
      </x:c>
      <x:c r="K4" s="20"/>
      <x:c r="L4" s="20"/>
    </x:row>
    <x:row r="5">
      <x:c r="A5" s="15" t="n">
        <x:f>COUNTA(A9:A13)</x:f>
        <x:v>5</x:v>
      </x:c>
      <x:c r="B5" s="16"/>
      <x:c r="C5" s="16" t="n">
        <x:f>COUNTA('场景节点'!A5:A47)</x:f>
        <x:v>43</x:v>
      </x:c>
      <x:c r="D5" s="16"/>
      <x:c r="E5" s="16" t="n">
        <x:f>COUNTA('对白'!A5:A46)</x:f>
        <x:v>42</x:v>
      </x:c>
      <x:c r="F5" s="16"/>
      <x:c r="G5" s="16" t="n">
        <x:f>COUNTA('选项与结果'!A5:A20)</x:f>
        <x:v>16</x:v>
      </x:c>
      <x:c r="H5" s="17"/>
      <x:c r="J5" s="25" t="n">
        <x:f>COUNTIFS('奖励与消耗'!$C$5:$C$44,"场景汇总",'奖励与消耗'!$E$5:$E$44,"奖励")</x:f>
        <x:v>16</x:v>
      </x:c>
      <x:c r="K5" s="26"/>
      <x:c r="L5" s="27"/>
    </x:row>
    <x:row r="8" ht="30" customHeight="1">
      <x:c r="A8" s="38" t="str">
        <x:v>场景代码</x:v>
      </x:c>
      <x:c r="B8" s="39" t="str">
        <x:v>场景名称</x:v>
      </x:c>
      <x:c r="C8" s="39" t="str">
        <x:v>地图ID</x:v>
      </x:c>
      <x:c r="D8" s="39" t="str">
        <x:v>地图名称</x:v>
      </x:c>
      <x:c r="E8" s="39" t="str">
        <x:v>区域/坐标</x:v>
      </x:c>
      <x:c r="F8" s="39" t="str">
        <x:v>位置依据</x:v>
      </x:c>
      <x:c r="G8" s="39" t="str">
        <x:v>时态/玩法</x:v>
      </x:c>
      <x:c r="H8" s="39" t="str">
        <x:v>触发条件</x:v>
      </x:c>
      <x:c r="I8" s="39" t="str">
        <x:v>节点数</x:v>
      </x:c>
      <x:c r="J8" s="39" t="str">
        <x:v>对白数</x:v>
      </x:c>
      <x:c r="K8" s="39" t="str">
        <x:v>选项数</x:v>
      </x:c>
      <x:c r="L8" s="40" t="str">
        <x:v>奖励项</x:v>
      </x:c>
    </x:row>
    <x:row r="9" ht="58" customHeight="1">
      <x:c r="A9" s="49" t="str">
        <x:v>M1-01</x:v>
      </x:c>
      <x:c r="B9" s="49" t="str">
        <x:v>第一盏阵灯</x:v>
      </x:c>
      <x:c r="C9" s="49" t="str">
        <x:v>map_01</x:v>
      </x:c>
      <x:c r="D9" s="49" t="str">
        <x:v>破禁山麓·万修之门</x:v>
      </x:c>
      <x:c r="E9" s="49" t="str">
        <x:v>到达 (21,52)</x:v>
      </x:c>
      <x:c r="F9" s="49" t="str">
        <x:v>原文明示</x:v>
      </x:c>
      <x:c r="G9" s="49" t="str">
        <x:v>现在 / 当世肉身远征</x:v>
      </x:c>
      <x:c r="H9" s="49" t="str">
        <x:v>进入map_01并到达 (21,52)。</x:v>
      </x:c>
      <x:c r="I9" s="82" t="n">
        <x:f>COUNTIF('场景节点'!$A$5:$A$47,A9)</x:f>
        <x:v>7</x:v>
      </x:c>
      <x:c r="J9" s="82" t="n">
        <x:f>COUNTIF('对白'!$A$5:$A$46,A9)</x:f>
        <x:v>5</x:v>
      </x:c>
      <x:c r="K9" s="82" t="n">
        <x:f>COUNTIF('选项与结果'!$A$5:$A$20,A9)</x:f>
        <x:v>3</x:v>
      </x:c>
      <x:c r="L9" s="82" t="n">
        <x:f>COUNTIFS('奖励与消耗'!$A$5:$A$44,A9,'奖励与消耗'!$C$5:$C$44,"场景汇总",'奖励与消耗'!$E$5:$E$44,"奖励")</x:f>
        <x:v>1</x:v>
      </x:c>
    </x:row>
    <x:row r="10" ht="58" customHeight="1">
      <x:c r="A10" s="50" t="str">
        <x:v>M1-02</x:v>
      </x:c>
      <x:c r="B10" s="50" t="str">
        <x:v>顾南炉的求救</x:v>
      </x:c>
      <x:c r="C10" s="50" t="str">
        <x:v>map_01</x:v>
      </x:c>
      <x:c r="D10" s="50" t="str">
        <x:v>破禁山麓·万修之门</x:v>
      </x:c>
      <x:c r="E10" s="50" t="str">
        <x:v>山腹暗道入口 (8,28)</x:v>
      </x:c>
      <x:c r="F10" s="50" t="str">
        <x:v>地图推断</x:v>
      </x:c>
      <x:c r="G10" s="50" t="str">
        <x:v>现在 / 当世肉身远征</x:v>
      </x:c>
      <x:c r="H10" s="50" t="str">
        <x:v>山腹暗道入口 (8,28)。</x:v>
      </x:c>
      <x:c r="I10" s="83" t="n">
        <x:f>COUNTIF('场景节点'!$A$5:$A$47,A10)</x:f>
        <x:v>10</x:v>
      </x:c>
      <x:c r="J10" s="83" t="n">
        <x:f>COUNTIF('对白'!$A$5:$A$46,A10)</x:f>
        <x:v>10</x:v>
      </x:c>
      <x:c r="K10" s="83" t="n">
        <x:f>COUNTIF('选项与结果'!$A$5:$A$20,A10)</x:f>
        <x:v>4</x:v>
      </x:c>
      <x:c r="L10" s="83" t="n">
        <x:f>COUNTIFS('奖励与消耗'!$A$5:$A$44,A10,'奖励与消耗'!$C$5:$C$44,"场景汇总",'奖励与消耗'!$E$5:$E$44,"奖励")</x:f>
        <x:v>3</x:v>
      </x:c>
    </x:row>
    <x:row r="11" ht="58" customHeight="1">
      <x:c r="A11" s="50" t="str">
        <x:v>M1-03</x:v>
      </x:c>
      <x:c r="B11" s="50" t="str">
        <x:v>两份开山令</x:v>
      </x:c>
      <x:c r="C11" s="50" t="str">
        <x:v>map_01</x:v>
      </x:c>
      <x:c r="D11" s="50" t="str">
        <x:v>破禁山麓·万修之门</x:v>
      </x:c>
      <x:c r="E11" s="50" t="str">
        <x:v>叶家先遣尸首事件</x:v>
      </x:c>
      <x:c r="F11" s="50" t="str">
        <x:v>地图推断</x:v>
      </x:c>
      <x:c r="G11" s="50" t="str">
        <x:v>现在 / 当世肉身远征</x:v>
      </x:c>
      <x:c r="H11" s="50" t="str">
        <x:v>叶家先遣尸首事件。</x:v>
      </x:c>
      <x:c r="I11" s="83" t="n">
        <x:f>COUNTIF('场景节点'!$A$5:$A$47,A11)</x:f>
        <x:v>8</x:v>
      </x:c>
      <x:c r="J11" s="83" t="n">
        <x:f>COUNTIF('对白'!$A$5:$A$46,A11)</x:f>
        <x:v>7</x:v>
      </x:c>
      <x:c r="K11" s="83" t="n">
        <x:f>COUNTIF('选项与结果'!$A$5:$A$20,A11)</x:f>
        <x:v>3</x:v>
      </x:c>
      <x:c r="L11" s="83" t="n">
        <x:f>COUNTIFS('奖励与消耗'!$A$5:$A$44,A11,'奖励与消耗'!$C$5:$C$44,"场景汇总",'奖励与消耗'!$E$5:$E$44,"奖励")</x:f>
        <x:v>3</x:v>
      </x:c>
    </x:row>
    <x:row r="12" ht="58" customHeight="1">
      <x:c r="A12" s="50" t="str">
        <x:v>M1-04</x:v>
      </x:c>
      <x:c r="B12" s="50" t="str">
        <x:v>万修之门残碑</x:v>
      </x:c>
      <x:c r="C12" s="50" t="str">
        <x:v>map_01</x:v>
      </x:c>
      <x:c r="D12" s="50" t="str">
        <x:v>破禁山麓·万修之门</x:v>
      </x:c>
      <x:c r="E12" s="50" t="str">
        <x:v>到达 (24,42)</x:v>
      </x:c>
      <x:c r="F12" s="50" t="str">
        <x:v>原文明示</x:v>
      </x:c>
      <x:c r="G12" s="50" t="str">
        <x:v>现在 / 当世肉身远征</x:v>
      </x:c>
      <x:c r="H12" s="50" t="str">
        <x:v>到达 (24,42)。</x:v>
      </x:c>
      <x:c r="I12" s="83" t="n">
        <x:f>COUNTIF('场景节点'!$A$5:$A$47,A12)</x:f>
        <x:v>8</x:v>
      </x:c>
      <x:c r="J12" s="83" t="n">
        <x:f>COUNTIF('对白'!$A$5:$A$46,A12)</x:f>
        <x:v>7</x:v>
      </x:c>
      <x:c r="K12" s="83" t="n">
        <x:f>COUNTIF('选项与结果'!$A$5:$A$20,A12)</x:f>
        <x:v>3</x:v>
      </x:c>
      <x:c r="L12" s="83" t="n">
        <x:f>COUNTIFS('奖励与消耗'!$A$5:$A$44,A12,'奖励与消耗'!$C$5:$C$44,"场景汇总",'奖励与消耗'!$E$5:$E$44,"奖励")</x:f>
        <x:v>2</x:v>
      </x:c>
    </x:row>
    <x:row r="13" ht="58" customHeight="1">
      <x:c r="A13" s="51" t="str">
        <x:v>M1-05</x:v>
      </x:c>
      <x:c r="B13" s="51" t="str">
        <x:v>守门石灵战前</x:v>
      </x:c>
      <x:c r="C13" s="51" t="str">
        <x:v>map_01</x:v>
      </x:c>
      <x:c r="D13" s="51" t="str">
        <x:v>破禁山麓·万修之门</x:v>
      </x:c>
      <x:c r="E13" s="51" t="str">
        <x:v>接近 (24,8)</x:v>
      </x:c>
      <x:c r="F13" s="51" t="str">
        <x:v>地图推断</x:v>
      </x:c>
      <x:c r="G13" s="51" t="str">
        <x:v>现在 / 当世肉身远征</x:v>
      </x:c>
      <x:c r="H13" s="51" t="str">
        <x:v>接近 (24,8)。</x:v>
      </x:c>
      <x:c r="I13" s="84" t="n">
        <x:f>COUNTIF('场景节点'!$A$5:$A$47,A13)</x:f>
        <x:v>10</x:v>
      </x:c>
      <x:c r="J13" s="84" t="n">
        <x:f>COUNTIF('对白'!$A$5:$A$46,A13)</x:f>
        <x:v>13</x:v>
      </x:c>
      <x:c r="K13" s="84" t="n">
        <x:f>COUNTIF('选项与结果'!$A$5:$A$20,A13)</x:f>
        <x:v>3</x:v>
      </x:c>
      <x:c r="L13" s="84" t="n">
        <x:f>COUNTIFS('奖励与消耗'!$A$5:$A$44,A13,'奖励与消耗'!$C$5:$C$44,"场景汇总",'奖励与消耗'!$E$5:$E$44,"奖励")</x:f>
        <x:v>7</x:v>
      </x:c>
    </x:row>
    <x:row r="16">
      <x:c r="A16" s="19" t="str">
        <x:v>阅读说明</x:v>
      </x:c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</x:row>
    <x:row r="17">
      <x:c r="A17" s="70" t="str">
        <x:v>C01 的 5 个场景均发生于 map_01「破禁山麓·万修之门」。标记为“地图推断”的位置，是原文明确了区域/坐标，但地图 ID 由地图27的 C01 章节网络补足。
数据来源：Docs/1.0策划案/剧情/20_1.0剧情任务详细剧本_草案.md
原始配置：/Users/zhangxiaoen/Desktop/Game/KunWuAdmin/data/stories/main_kunwu_three_ages.json</x:v>
      </x:c>
      <x:c r="B17" s="71"/>
      <x:c r="C17" s="71"/>
      <x:c r="D17" s="71"/>
      <x:c r="E17" s="71"/>
      <x:c r="F17" s="71"/>
      <x:c r="G17" s="71"/>
      <x:c r="H17" s="71"/>
      <x:c r="I17" s="71"/>
      <x:c r="J17" s="71"/>
      <x:c r="K17" s="71"/>
      <x:c r="L17" s="72"/>
    </x:row>
    <x:row r="18">
      <x:c r="A18" s="73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5"/>
    </x:row>
    <x:row r="19">
      <x:c r="A19" s="76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8"/>
    </x:row>
  </x:sheetData>
  <x:mergeCells>
    <x:mergeCell ref="A1:L1"/>
    <x:mergeCell ref="A2:L2"/>
    <x:mergeCell ref="A5:B5"/>
    <x:mergeCell ref="C5:D5"/>
    <x:mergeCell ref="E5:F5"/>
    <x:mergeCell ref="G5:H5"/>
    <x:mergeCell ref="J4:L4"/>
    <x:mergeCell ref="J5:L5"/>
    <x:mergeCell ref="A16:L16"/>
    <x:mergeCell ref="A17:L19"/>
  </x:mergeCells>
  <x:pageMargins left="0.7" right="0.7" top="0.75" bottom="0.75" header="0.3" footer="0.3"/>
  <x:tableParts count="1">
    <x:tablePart xmlns:r="http://schemas.openxmlformats.org/officeDocument/2006/relationships" r:id="Rf9ad76e9105f49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.329999923706055" hidden="0" customWidth="1"/>
    <x:col min="3" max="3" width="26.670000076293945" hidden="0" customWidth="1"/>
    <x:col min="4" max="4" width="7.559999942779541" hidden="0" customWidth="1"/>
    <x:col min="5" max="5" width="16.670000076293945" hidden="0" customWidth="1"/>
    <x:col min="6" max="6" width="27.780000686645508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  <x:col min="10" max="10" width="23.329999923706055" hidden="0" customWidth="1"/>
    <x:col min="11" max="11" width="6.889999866485596" hidden="0" customWidth="1"/>
    <x:col min="12" max="12" width="6.889999866485596" hidden="0" customWidth="1"/>
    <x:col min="13" max="13" width="20" hidden="0" customWidth="1"/>
  </x:cols>
  <x:sheetData>
    <x:row r="1" ht="34" customHeight="1">
      <x:c r="A1" s="3" t="str">
        <x:v>C01 场景节点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6" t="str">
        <x:v>按图节点顺序列出入口、对话、选项、检定、结算、战斗和结束；前后节点用于理解汇流关系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0" customHeight="1">
      <x:c r="A4" s="38" t="str">
        <x:v>场景</x:v>
      </x:c>
      <x:c r="B4" s="39" t="str">
        <x:v>顺序</x:v>
      </x:c>
      <x:c r="C4" s="39" t="str">
        <x:v>节点ID</x:v>
      </x:c>
      <x:c r="D4" s="39" t="str">
        <x:v>节点类型</x:v>
      </x:c>
      <x:c r="E4" s="39" t="str">
        <x:v>节点标题</x:v>
      </x:c>
      <x:c r="F4" s="39" t="str">
        <x:v>展示内容</x:v>
      </x:c>
      <x:c r="G4" s="39" t="str">
        <x:v>前置节点</x:v>
      </x:c>
      <x:c r="H4" s="39" t="str">
        <x:v>后续节点</x:v>
      </x:c>
      <x:c r="I4" s="39" t="str">
        <x:v>分支说明</x:v>
      </x:c>
      <x:c r="J4" s="39" t="str">
        <x:v>状态变化</x:v>
      </x:c>
      <x:c r="K4" s="39" t="str">
        <x:v>奖励数</x:v>
      </x:c>
      <x:c r="L4" s="39" t="str">
        <x:v>消耗数</x:v>
      </x:c>
      <x:c r="M4" s="40" t="str">
        <x:v>来源标题</x:v>
      </x:c>
    </x:row>
    <x:row r="5" ht="54" customHeight="1">
      <x:c r="A5" s="49" t="str">
        <x:v>M1-01</x:v>
      </x:c>
      <x:c r="B5" s="49" t="n">
        <x:v>1</x:v>
      </x:c>
      <x:c r="C5" s="49" t="str">
        <x:v>main_kunwu_three_ages_main_c01_m1_01_entry</x:v>
      </x:c>
      <x:c r="D5" s="49" t="str">
        <x:v>入口</x:v>
      </x:c>
      <x:c r="E5" s="49" t="str">
        <x:v>场景入口</x:v>
      </x:c>
      <x:c r="F5" s="49" t="str">
        <x:v>进入map_01并到达 (21,52)。</x:v>
      </x:c>
      <x:c r="G5" s="49" t="str"/>
      <x:c r="H5" s="49" t="str">
        <x:v>对话 · 陆清、石岩、墨言</x:v>
      </x:c>
      <x:c r="I5" s="49" t="str"/>
      <x:c r="J5" s="49" t="str"/>
      <x:c r="K5" s="49" t="n">
        <x:v>0</x:v>
      </x:c>
      <x:c r="L5" s="49" t="n">
        <x:v>0</x:v>
      </x:c>
      <x:c r="M5" s="49" t="str">
        <x:v>#### 场景 M1-01：第一盏阵灯</x:v>
      </x:c>
    </x:row>
    <x:row r="6" ht="54" customHeight="1">
      <x:c r="A6" s="50" t="str">
        <x:v>M1-01</x:v>
      </x:c>
      <x:c r="B6" s="50" t="n">
        <x:v>2</x:v>
      </x:c>
      <x:c r="C6" s="50" t="str">
        <x:v>main_kunwu_three_ages_main_c01_m1_01_dialogue_1</x:v>
      </x:c>
      <x:c r="D6" s="50" t="str">
        <x:v>对话</x:v>
      </x:c>
      <x:c r="E6" s="50" t="str">
        <x:v>对话 · 陆清、石岩、墨言</x:v>
      </x:c>
      <x:c r="F6" s="50" t="str">
        <x:v>陆清：灯芯完整，阵纹却反了。</x:v>
      </x:c>
      <x:c r="G6" s="50" t="str">
        <x:v>场景入口</x:v>
      </x:c>
      <x:c r="H6" s="50" t="str">
        <x:v>让陆清校正阵纹。
用开山镐拆掉外壳。
保留反阵，追查灵力去向。</x:v>
      </x:c>
      <x:c r="I6" s="50" t="str"/>
      <x:c r="J6" s="50" t="str"/>
      <x:c r="K6" s="50" t="n">
        <x:v>0</x:v>
      </x:c>
      <x:c r="L6" s="50" t="n">
        <x:v>0</x:v>
      </x:c>
      <x:c r="M6" s="50" t="str">
        <x:v>#### 场景 M1-01：第一盏阵灯</x:v>
      </x:c>
    </x:row>
    <x:row r="7" ht="54" customHeight="1">
      <x:c r="A7" s="50" t="str">
        <x:v>M1-01</x:v>
      </x:c>
      <x:c r="B7" s="50" t="n">
        <x:v>3</x:v>
      </x:c>
      <x:c r="C7" s="50" t="str">
        <x:v>main_kunwu_three_ages_main_c01_m1_01_choice_1_1</x:v>
      </x:c>
      <x:c r="D7" s="50" t="str">
        <x:v>检定</x:v>
      </x:c>
      <x:c r="E7" s="50" t="str">
        <x:v>让陆清校正阵纹。</x:v>
      </x:c>
      <x:c r="F7" s="50" t="str">
        <x:v>让陆清校正阵纹。</x:v>
      </x:c>
      <x:c r="G7" s="50" t="str">
        <x:v>对话 · 陆清、石岩、墨言</x:v>
      </x:c>
      <x:c r="H7" s="50" t="str">
        <x:v>公共后续</x:v>
      </x:c>
      <x:c r="I7" s="50" t="str">
        <x:v>执行专属结果后汇流</x:v>
      </x:c>
      <x:c r="J7" s="50" t="str">
        <x:v>法力MAX≥18成功
消耗灵晶1
无战斗
seal_integrity+1。</x:v>
      </x:c>
      <x:c r="K7" s="50" t="n">
        <x:v>0</x:v>
      </x:c>
      <x:c r="L7" s="50" t="n">
        <x:v>1</x:v>
      </x:c>
      <x:c r="M7" s="50" t="str">
        <x:v>#### 场景 M1-01：第一盏阵灯</x:v>
      </x:c>
    </x:row>
    <x:row r="8" ht="54" customHeight="1">
      <x:c r="A8" s="50" t="str">
        <x:v>M1-01</x:v>
      </x:c>
      <x:c r="B8" s="50" t="n">
        <x:v>4</x:v>
      </x:c>
      <x:c r="C8" s="50" t="str">
        <x:v>main_kunwu_three_ages_main_c01_m1_01_choice_1_2</x:v>
      </x:c>
      <x:c r="D8" s="50" t="str">
        <x:v>选项</x:v>
      </x:c>
      <x:c r="E8" s="50" t="str">
        <x:v>用开山镐拆掉外壳。</x:v>
      </x:c>
      <x:c r="F8" s="50" t="str">
        <x:v>用开山镐拆掉外壳。</x:v>
      </x:c>
      <x:c r="G8" s="50" t="str">
        <x:v>对话 · 陆清、石岩、墨言</x:v>
      </x:c>
      <x:c r="H8" s="50" t="str">
        <x:v>公共后续</x:v>
      </x:c>
      <x:c r="I8" s="50" t="str">
        <x:v>执行专属结果后汇流</x:v>
      </x:c>
      <x:c r="J8" s="50" t="str">
        <x:v>本次出征已启用开山镐时可选
取得玄铁3
引来噬灵鼠群， 不在对象交互时再次扣除开山镐。</x:v>
      </x:c>
      <x:c r="K8" s="50" t="n">
        <x:v>1</x:v>
      </x:c>
      <x:c r="L8" s="50" t="n">
        <x:v>1</x:v>
      </x:c>
      <x:c r="M8" s="50" t="str">
        <x:v>#### 场景 M1-01：第一盏阵灯</x:v>
      </x:c>
    </x:row>
    <x:row r="9" ht="54" customHeight="1">
      <x:c r="A9" s="50" t="str">
        <x:v>M1-01</x:v>
      </x:c>
      <x:c r="B9" s="50" t="n">
        <x:v>5</x:v>
      </x:c>
      <x:c r="C9" s="50" t="str">
        <x:v>main_kunwu_three_ages_main_c01_m1_01_choice_1_3</x:v>
      </x:c>
      <x:c r="D9" s="50" t="str">
        <x:v>选项</x:v>
      </x:c>
      <x:c r="E9" s="50" t="str">
        <x:v>保留反阵，追查灵力去向。</x:v>
      </x:c>
      <x:c r="F9" s="50" t="str">
        <x:v>保留反阵，追查灵力去向。</x:v>
      </x:c>
      <x:c r="G9" s="50" t="str">
        <x:v>对话 · 陆清、石岩、墨言</x:v>
      </x:c>
      <x:c r="H9" s="50" t="str">
        <x:v>公共后续</x:v>
      </x:c>
      <x:c r="I9" s="50" t="str">
        <x:v>执行专属结果后汇流</x:v>
      </x:c>
      <x:c r="J9" s="50" t="str">
        <x:v>不立刻修复
揭示一条隐藏路径
稍后必须返回修灯， 且下一场阵灵敌人伤害+10%。</x:v>
      </x:c>
      <x:c r="K9" s="50" t="n">
        <x:v>0</x:v>
      </x:c>
      <x:c r="L9" s="50" t="n">
        <x:v>0</x:v>
      </x:c>
      <x:c r="M9" s="50" t="str">
        <x:v>#### 场景 M1-01：第一盏阵灯</x:v>
      </x:c>
    </x:row>
    <x:row r="10" ht="54" customHeight="1">
      <x:c r="A10" s="50" t="str">
        <x:v>M1-01</x:v>
      </x:c>
      <x:c r="B10" s="50" t="n">
        <x:v>6</x:v>
      </x:c>
      <x:c r="C10" s="50" t="str">
        <x:v>main_kunwu_three_ages_main_c01_m1_01_merge_1</x:v>
      </x:c>
      <x:c r="D10" s="50" t="str">
        <x:v>结算</x:v>
      </x:c>
      <x:c r="E10" s="50" t="str">
        <x:v>公共后续</x:v>
      </x:c>
      <x:c r="F10" s="50" t="str">
        <x:v>本组选项在保存各自结果、播放原文明示的专属对白后，于此继续公共剧情。</x:v>
      </x:c>
      <x:c r="G10" s="50" t="str">
        <x:v>让陆清校正阵纹。
用开山镐拆掉外壳。
保留反阵，追查灵力去向。</x:v>
      </x:c>
      <x:c r="H10" s="50" t="str">
        <x:v>场景结束</x:v>
      </x:c>
      <x:c r="I10" s="50" t="str"/>
      <x:c r="J10" s="50" t="str">
        <x:v>selection.save</x:v>
      </x:c>
      <x:c r="K10" s="50" t="n">
        <x:v>0</x:v>
      </x:c>
      <x:c r="L10" s="50" t="n">
        <x:v>0</x:v>
      </x:c>
      <x:c r="M10" s="50" t="str">
        <x:v>#### 场景 M1-01：第一盏阵灯</x:v>
      </x:c>
    </x:row>
    <x:row r="11" ht="54" customHeight="1">
      <x:c r="A11" s="50" t="str">
        <x:v>M1-01</x:v>
      </x:c>
      <x:c r="B11" s="50" t="n">
        <x:v>7</x:v>
      </x:c>
      <x:c r="C11" s="50" t="str">
        <x:v>main_kunwu_three_ages_main_c01_m1_01_end</x:v>
      </x:c>
      <x:c r="D11" s="50" t="str">
        <x:v>结束</x:v>
      </x:c>
      <x:c r="E11" s="50" t="str">
        <x:v>场景结束</x:v>
      </x:c>
      <x:c r="F11" s="50" t="str">
        <x:v>M1-01 · 第一盏阵灯</x:v>
      </x:c>
      <x:c r="G11" s="50" t="str">
        <x:v>公共后续</x:v>
      </x:c>
      <x:c r="H11" s="50" t="str"/>
      <x:c r="I11" s="50" t="str"/>
      <x:c r="J11" s="50" t="str"/>
      <x:c r="K11" s="50" t="n">
        <x:v>0</x:v>
      </x:c>
      <x:c r="L11" s="50" t="n">
        <x:v>0</x:v>
      </x:c>
      <x:c r="M11" s="50" t="str">
        <x:v>#### 场景 M1-01：第一盏阵灯</x:v>
      </x:c>
    </x:row>
    <x:row r="12" ht="54" customHeight="1">
      <x:c r="A12" s="50" t="str">
        <x:v>M1-02</x:v>
      </x:c>
      <x:c r="B12" s="50" t="n">
        <x:v>1</x:v>
      </x:c>
      <x:c r="C12" s="50" t="str">
        <x:v>main_kunwu_three_ages_main_c01_m1_02_entry</x:v>
      </x:c>
      <x:c r="D12" s="50" t="str">
        <x:v>入口</x:v>
      </x:c>
      <x:c r="E12" s="50" t="str">
        <x:v>场景入口</x:v>
      </x:c>
      <x:c r="F12" s="50" t="str">
        <x:v>山腹暗道入口 (8,28)。</x:v>
      </x:c>
      <x:c r="G12" s="50" t="str"/>
      <x:c r="H12" s="50" t="str">
        <x:v>对话 · 顾南炉、石岩、墨言</x:v>
      </x:c>
      <x:c r="I12" s="50" t="str"/>
      <x:c r="J12" s="50" t="str"/>
      <x:c r="K12" s="50" t="n">
        <x:v>0</x:v>
      </x:c>
      <x:c r="L12" s="50" t="n">
        <x:v>0</x:v>
      </x:c>
      <x:c r="M12" s="50" t="str">
        <x:v>#### 场景 M1-02：顾南炉的求救</x:v>
      </x:c>
    </x:row>
    <x:row r="13" ht="54" customHeight="1">
      <x:c r="A13" s="50" t="str">
        <x:v>M1-02</x:v>
      </x:c>
      <x:c r="B13" s="50" t="n">
        <x:v>2</x:v>
      </x:c>
      <x:c r="C13" s="50" t="str">
        <x:v>main_kunwu_three_ages_main_c01_m1_02_dialogue_1</x:v>
      </x:c>
      <x:c r="D13" s="50" t="str">
        <x:v>对话</x:v>
      </x:c>
      <x:c r="E13" s="50" t="str">
        <x:v>对话 · 顾南炉、石岩、墨言</x:v>
      </x:c>
      <x:c r="F13" s="50" t="str">
        <x:v>顾南炉：别敲！上面整片都要塌！</x:v>
      </x:c>
      <x:c r="G13" s="50" t="str">
        <x:v>场景入口</x:v>
      </x:c>
      <x:c r="H13" s="50" t="str">
        <x:v>用开山镐按他说的位置破岩。
让石岩强行抬开。
先让他证明身份。
离开。</x:v>
      </x:c>
      <x:c r="I13" s="50" t="str"/>
      <x:c r="J13" s="50" t="str"/>
      <x:c r="K13" s="50" t="n">
        <x:v>0</x:v>
      </x:c>
      <x:c r="L13" s="50" t="n">
        <x:v>0</x:v>
      </x:c>
      <x:c r="M13" s="50" t="str">
        <x:v>#### 场景 M1-02：顾南炉的求救</x:v>
      </x:c>
    </x:row>
    <x:row r="14" ht="54" customHeight="1">
      <x:c r="A14" s="50" t="str">
        <x:v>M1-02</x:v>
      </x:c>
      <x:c r="B14" s="50" t="n">
        <x:v>3</x:v>
      </x:c>
      <x:c r="C14" s="50" t="str">
        <x:v>main_kunwu_three_ages_main_c01_m1_02_choice_1_1</x:v>
      </x:c>
      <x:c r="D14" s="50" t="str">
        <x:v>选项</x:v>
      </x:c>
      <x:c r="E14" s="50" t="str">
        <x:v>用开山镐按他说的位置破岩。</x:v>
      </x:c>
      <x:c r="F14" s="50" t="str">
        <x:v>用开山镐按他说的位置破岩。</x:v>
      </x:c>
      <x:c r="G14" s="50" t="str">
        <x:v>对话 · 顾南炉、石岩、墨言</x:v>
      </x:c>
      <x:c r="H14" s="50" t="str">
        <x:v>公共后续</x:v>
      </x:c>
      <x:c r="I14" s="50" t="str">
        <x:v>执行专属结果后汇流</x:v>
      </x:c>
      <x:c r="J14" s="50" t="str">
        <x:v>本次出征已启用开山镐时可选
无伤救出
saved_gu_nanlu=true，不在对象交互时再次扣除开山镐。</x:v>
      </x:c>
      <x:c r="K14" s="50" t="n">
        <x:v>0</x:v>
      </x:c>
      <x:c r="L14" s="50" t="n">
        <x:v>1</x:v>
      </x:c>
      <x:c r="M14" s="50" t="str">
        <x:v>#### 场景 M1-02：顾南炉的求救</x:v>
      </x:c>
    </x:row>
    <x:row r="15" ht="54" customHeight="1">
      <x:c r="A15" s="50" t="str">
        <x:v>M1-02</x:v>
      </x:c>
      <x:c r="B15" s="50" t="n">
        <x:v>4</x:v>
      </x:c>
      <x:c r="C15" s="50" t="str">
        <x:v>main_kunwu_three_ages_main_c01_m1_02_choice_1_2</x:v>
      </x:c>
      <x:c r="D15" s="50" t="str">
        <x:v>检定</x:v>
      </x:c>
      <x:c r="E15" s="50" t="str">
        <x:v>让石岩强行抬开。</x:v>
      </x:c>
      <x:c r="F15" s="50" t="str">
        <x:v>让石岩强行抬开。</x:v>
      </x:c>
      <x:c r="G15" s="50" t="str">
        <x:v>对话 · 顾南炉、石岩、墨言</x:v>
      </x:c>
      <x:c r="H15" s="50" t="str">
        <x:v>公共后续</x:v>
      </x:c>
      <x:c r="I15" s="50" t="str">
        <x:v>执行专属结果后汇流</x:v>
      </x:c>
      <x:c r="J15" s="50" t="str">
        <x:v>全队力道SUM≥55成功
石岩损失15%当前生命
无需开山镐。</x:v>
      </x:c>
      <x:c r="K15" s="50" t="n">
        <x:v>0</x:v>
      </x:c>
      <x:c r="L15" s="50" t="n">
        <x:v>0</x:v>
      </x:c>
      <x:c r="M15" s="50" t="str">
        <x:v>#### 场景 M1-02：顾南炉的求救</x:v>
      </x:c>
    </x:row>
    <x:row r="16" ht="54" customHeight="1">
      <x:c r="A16" s="50" t="str">
        <x:v>M1-02</x:v>
      </x:c>
      <x:c r="B16" s="50" t="n">
        <x:v>5</x:v>
      </x:c>
      <x:c r="C16" s="50" t="str">
        <x:v>main_kunwu_three_ages_main_c01_m1_02_choice_1_3</x:v>
      </x:c>
      <x:c r="D16" s="50" t="str">
        <x:v>选项</x:v>
      </x:c>
      <x:c r="E16" s="50" t="str">
        <x:v>先让他证明身份。</x:v>
      </x:c>
      <x:c r="F16" s="50" t="str">
        <x:v>先让他证明身份。</x:v>
      </x:c>
      <x:c r="G16" s="50" t="str">
        <x:v>对话 · 顾南炉、石岩、墨言</x:v>
      </x:c>
      <x:c r="H16" s="50" t="str">
        <x:v>公共后续</x:v>
      </x:c>
      <x:c r="I16" s="50" t="str">
        <x:v>执行专属结果后汇流</x:v>
      </x:c>
      <x:c r="J16" s="50" t="str">
        <x:v>顾南炉说出营地旧炉编号
若读过废营粮册可识别，cen_trust+1
否则延迟救援并触发落石敌群。</x:v>
      </x:c>
      <x:c r="K16" s="50" t="n">
        <x:v>0</x:v>
      </x:c>
      <x:c r="L16" s="50" t="n">
        <x:v>0</x:v>
      </x:c>
      <x:c r="M16" s="50" t="str">
        <x:v>#### 场景 M1-02：顾南炉的求救</x:v>
      </x:c>
    </x:row>
    <x:row r="17" ht="54" customHeight="1">
      <x:c r="A17" s="50" t="str">
        <x:v>M1-02</x:v>
      </x:c>
      <x:c r="B17" s="50" t="n">
        <x:v>6</x:v>
      </x:c>
      <x:c r="C17" s="50" t="str">
        <x:v>main_kunwu_three_ages_main_c01_m1_02_choice_1_4</x:v>
      </x:c>
      <x:c r="D17" s="50" t="str">
        <x:v>选项</x:v>
      </x:c>
      <x:c r="E17" s="50" t="str">
        <x:v>离开。</x:v>
      </x:c>
      <x:c r="F17" s="50" t="str">
        <x:v>离开。</x:v>
      </x:c>
      <x:c r="G17" s="50" t="str">
        <x:v>对话 · 顾南炉、石岩、墨言</x:v>
      </x:c>
      <x:c r="H17" s="50" t="str">
        <x:v>公共后续</x:v>
      </x:c>
      <x:c r="I17" s="50" t="str">
        <x:v>执行专属结果后汇流</x:v>
      </x:c>
      <x:c r="J17" s="50" t="str">
        <x:v>明示“继续深入后顾南炉可能死亡”
二次确认。离开后完成两场战斗再回来， 只能找到遗物，炼器坊延迟到地图2商人事件解锁。</x:v>
      </x:c>
      <x:c r="K17" s="50" t="n">
        <x:v>0</x:v>
      </x:c>
      <x:c r="L17" s="50" t="n">
        <x:v>0</x:v>
      </x:c>
      <x:c r="M17" s="50" t="str">
        <x:v>#### 场景 M1-02：顾南炉的求救</x:v>
      </x:c>
    </x:row>
    <x:row r="18" ht="54" customHeight="1">
      <x:c r="A18" s="50" t="str">
        <x:v>M1-02</x:v>
      </x:c>
      <x:c r="B18" s="50" t="n">
        <x:v>7</x:v>
      </x:c>
      <x:c r="C18" s="50" t="str">
        <x:v>main_kunwu_three_ages_main_c01_m1_02_merge_1</x:v>
      </x:c>
      <x:c r="D18" s="50" t="str">
        <x:v>结算</x:v>
      </x:c>
      <x:c r="E18" s="50" t="str">
        <x:v>公共后续</x:v>
      </x:c>
      <x:c r="F18" s="50" t="str">
        <x:v>本组选项在保存各自结果、播放原文明示的专属对白后，于此继续公共剧情。</x:v>
      </x:c>
      <x:c r="G18" s="50" t="str">
        <x:v>用开山镐按他说的位置破岩。
让石岩强行抬开。
先让他证明身份。
离开。</x:v>
      </x:c>
      <x:c r="H18" s="50" t="str">
        <x:v>对话 · 顾南炉、陆清、墨言</x:v>
      </x:c>
      <x:c r="I18" s="50" t="str"/>
      <x:c r="J18" s="50" t="str">
        <x:v>selection.save</x:v>
      </x:c>
      <x:c r="K18" s="50" t="n">
        <x:v>0</x:v>
      </x:c>
      <x:c r="L18" s="50" t="n">
        <x:v>0</x:v>
      </x:c>
      <x:c r="M18" s="50" t="str">
        <x:v>#### 场景 M1-02：顾南炉的求救</x:v>
      </x:c>
    </x:row>
    <x:row r="19" ht="54" customHeight="1">
      <x:c r="A19" s="50" t="str">
        <x:v>M1-02</x:v>
      </x:c>
      <x:c r="B19" s="50" t="n">
        <x:v>8</x:v>
      </x:c>
      <x:c r="C19" s="50" t="str">
        <x:v>main_kunwu_three_ages_main_c01_m1_02_dialogue_2</x:v>
      </x:c>
      <x:c r="D19" s="50" t="str">
        <x:v>对话</x:v>
      </x:c>
      <x:c r="E19" s="50" t="str">
        <x:v>对话 · 顾南炉、陆清、墨言</x:v>
      </x:c>
      <x:c r="F19" s="50" t="str">
        <x:v>顾南炉：他们把阵灯改成了抽灵钉。</x:v>
      </x:c>
      <x:c r="G19" s="50" t="str">
        <x:v>公共后续</x:v>
      </x:c>
      <x:c r="H19" s="50" t="str">
        <x:v>结算</x:v>
      </x:c>
      <x:c r="I19" s="50" t="str"/>
      <x:c r="J19" s="50" t="str"/>
      <x:c r="K19" s="50" t="n">
        <x:v>0</x:v>
      </x:c>
      <x:c r="L19" s="50" t="n">
        <x:v>0</x:v>
      </x:c>
      <x:c r="M19" s="50" t="str">
        <x:v>#### 场景 M1-02：顾南炉的求救</x:v>
      </x:c>
    </x:row>
    <x:row r="20" ht="54" customHeight="1">
      <x:c r="A20" s="50" t="str">
        <x:v>M1-02</x:v>
      </x:c>
      <x:c r="B20" s="50" t="n">
        <x:v>9</x:v>
      </x:c>
      <x:c r="C20" s="50" t="str">
        <x:v>main_kunwu_three_ages_main_c01_m1_02_action_1</x:v>
      </x:c>
      <x:c r="D20" s="50" t="str">
        <x:v>结算</x:v>
      </x:c>
      <x:c r="E20" s="50" t="str">
        <x:v>结算</x:v>
      </x:c>
      <x:c r="F20" s="50" t="str">
        <x:v>结算：获得两份阵器拓图，ye_evidence+1；回营后顾南炉入驻并解锁炼器坊，同时交付符心佩 配方与首件核心。首次打造需提交上品铁胚和蓝图要求的器纹，七维由提交的器纹决定。</x:v>
      </x:c>
      <x:c r="G20" s="50" t="str">
        <x:v>对话 · 顾南炉、陆清、墨言</x:v>
      </x:c>
      <x:c r="H20" s="50" t="str">
        <x:v>场景结束</x:v>
      </x:c>
      <x:c r="I20" s="50" t="str"/>
      <x:c r="J20" s="50" t="str">
        <x:v>ye_evidence+1</x:v>
      </x:c>
      <x:c r="K20" s="50" t="n">
        <x:v>3</x:v>
      </x:c>
      <x:c r="L20" s="50" t="n">
        <x:v>2</x:v>
      </x:c>
      <x:c r="M20" s="50" t="str">
        <x:v>#### 场景 M1-02：顾南炉的求救</x:v>
      </x:c>
    </x:row>
    <x:row r="21" ht="54" customHeight="1">
      <x:c r="A21" s="50" t="str">
        <x:v>M1-02</x:v>
      </x:c>
      <x:c r="B21" s="50" t="n">
        <x:v>10</x:v>
      </x:c>
      <x:c r="C21" s="50" t="str">
        <x:v>main_kunwu_three_ages_main_c01_m1_02_end</x:v>
      </x:c>
      <x:c r="D21" s="50" t="str">
        <x:v>结束</x:v>
      </x:c>
      <x:c r="E21" s="50" t="str">
        <x:v>场景结束</x:v>
      </x:c>
      <x:c r="F21" s="50" t="str">
        <x:v>M1-02 · 顾南炉的求救</x:v>
      </x:c>
      <x:c r="G21" s="50" t="str">
        <x:v>结算</x:v>
      </x:c>
      <x:c r="H21" s="50" t="str"/>
      <x:c r="I21" s="50" t="str"/>
      <x:c r="J21" s="50" t="str"/>
      <x:c r="K21" s="50" t="n">
        <x:v>0</x:v>
      </x:c>
      <x:c r="L21" s="50" t="n">
        <x:v>0</x:v>
      </x:c>
      <x:c r="M21" s="50" t="str">
        <x:v>#### 场景 M1-02：顾南炉的求救</x:v>
      </x:c>
    </x:row>
    <x:row r="22" ht="54" customHeight="1">
      <x:c r="A22" s="50" t="str">
        <x:v>M1-03</x:v>
      </x:c>
      <x:c r="B22" s="50" t="n">
        <x:v>1</x:v>
      </x:c>
      <x:c r="C22" s="50" t="str">
        <x:v>main_kunwu_three_ages_main_c01_m1_03_entry</x:v>
      </x:c>
      <x:c r="D22" s="50" t="str">
        <x:v>入口</x:v>
      </x:c>
      <x:c r="E22" s="50" t="str">
        <x:v>场景入口</x:v>
      </x:c>
      <x:c r="F22" s="50" t="str">
        <x:v>叶家先遣尸首事件。</x:v>
      </x:c>
      <x:c r="G22" s="50" t="str"/>
      <x:c r="H22" s="50" t="str">
        <x:v>对话 · 白灵、墨言、石岩</x:v>
      </x:c>
      <x:c r="I22" s="50" t="str"/>
      <x:c r="J22" s="50" t="str"/>
      <x:c r="K22" s="50" t="n">
        <x:v>0</x:v>
      </x:c>
      <x:c r="L22" s="50" t="n">
        <x:v>0</x:v>
      </x:c>
      <x:c r="M22" s="50" t="str">
        <x:v>#### 场景 M1-03：两份开山令</x:v>
      </x:c>
    </x:row>
    <x:row r="23" ht="54" customHeight="1">
      <x:c r="A23" s="50" t="str">
        <x:v>M1-03</x:v>
      </x:c>
      <x:c r="B23" s="50" t="n">
        <x:v>2</x:v>
      </x:c>
      <x:c r="C23" s="50" t="str">
        <x:v>main_kunwu_three_ages_main_c01_m1_03_dialogue_1</x:v>
      </x:c>
      <x:c r="D23" s="50" t="str">
        <x:v>对话</x:v>
      </x:c>
      <x:c r="E23" s="50" t="str">
        <x:v>对话 · 白灵、墨言、石岩</x:v>
      </x:c>
      <x:c r="F23" s="50" t="str">
        <x:v>白灵：死者胸口没有石灵伤。</x:v>
      </x:c>
      <x:c r="G23" s="50" t="str">
        <x:v>场景入口</x:v>
      </x:c>
      <x:c r="H23" s="50" t="str">
        <x:v>带走两份命令。
焚去抽阵令，只留重封令。
拓印后原样放回。</x:v>
      </x:c>
      <x:c r="I23" s="50" t="str"/>
      <x:c r="J23" s="50" t="str"/>
      <x:c r="K23" s="50" t="n">
        <x:v>0</x:v>
      </x:c>
      <x:c r="L23" s="50" t="n">
        <x:v>0</x:v>
      </x:c>
      <x:c r="M23" s="50" t="str">
        <x:v>#### 场景 M1-03：两份开山令</x:v>
      </x:c>
    </x:row>
    <x:row r="24" ht="54" customHeight="1">
      <x:c r="A24" s="50" t="str">
        <x:v>M1-03</x:v>
      </x:c>
      <x:c r="B24" s="50" t="n">
        <x:v>3</x:v>
      </x:c>
      <x:c r="C24" s="50" t="str">
        <x:v>main_kunwu_three_ages_main_c01_m1_03_choice_1_1</x:v>
      </x:c>
      <x:c r="D24" s="50" t="str">
        <x:v>选项</x:v>
      </x:c>
      <x:c r="E24" s="50" t="str">
        <x:v>带走两份命令。</x:v>
      </x:c>
      <x:c r="F24" s="50" t="str">
        <x:v>带走两份命令。</x:v>
      </x:c>
      <x:c r="G24" s="50" t="str">
        <x:v>对话 · 白灵、墨言、石岩</x:v>
      </x:c>
      <x:c r="H24" s="50" t="str">
        <x:v>公共后续</x:v>
      </x:c>
      <x:c r="I24" s="50" t="str">
        <x:v>执行专属结果后汇流</x:v>
      </x:c>
      <x:c r="J24" s="50" t="str">
        <x:v>ye_evidence+1
占任务物栏，不占负重。</x:v>
      </x:c>
      <x:c r="K24" s="50" t="n">
        <x:v>0</x:v>
      </x:c>
      <x:c r="L24" s="50" t="n">
        <x:v>0</x:v>
      </x:c>
      <x:c r="M24" s="50" t="str">
        <x:v>#### 场景 M1-03：两份开山令</x:v>
      </x:c>
    </x:row>
    <x:row r="25" ht="54" customHeight="1">
      <x:c r="A25" s="50" t="str">
        <x:v>M1-03</x:v>
      </x:c>
      <x:c r="B25" s="50" t="n">
        <x:v>4</x:v>
      </x:c>
      <x:c r="C25" s="50" t="str">
        <x:v>main_kunwu_three_ages_main_c01_m1_03_choice_1_2</x:v>
      </x:c>
      <x:c r="D25" s="50" t="str">
        <x:v>选项</x:v>
      </x:c>
      <x:c r="E25" s="50" t="str">
        <x:v>焚去抽阵令，只留重封令。</x:v>
      </x:c>
      <x:c r="F25" s="50" t="str">
        <x:v>焚去抽阵令，只留重封令。</x:v>
      </x:c>
      <x:c r="G25" s="50" t="str">
        <x:v>对话 · 白灵、墨言、石岩</x:v>
      </x:c>
      <x:c r="H25" s="50" t="str">
        <x:v>公共后续</x:v>
      </x:c>
      <x:c r="I25" s="50" t="str">
        <x:v>执行专属结果后汇流</x:v>
      </x:c>
      <x:c r="J25" s="50" t="str">
        <x:v>获得短期“叶家善意”风味，ye_evidence不增加
墨言反对。</x:v>
      </x:c>
      <x:c r="K25" s="50" t="n">
        <x:v>1</x:v>
      </x:c>
      <x:c r="L25" s="50" t="n">
        <x:v>0</x:v>
      </x:c>
      <x:c r="M25" s="50" t="str">
        <x:v>#### 场景 M1-03：两份开山令</x:v>
      </x:c>
    </x:row>
    <x:row r="26" ht="54" customHeight="1">
      <x:c r="A26" s="50" t="str">
        <x:v>M1-03</x:v>
      </x:c>
      <x:c r="B26" s="50" t="n">
        <x:v>5</x:v>
      </x:c>
      <x:c r="C26" s="50" t="str">
        <x:v>main_kunwu_three_ages_main_c01_m1_03_choice_1_3</x:v>
      </x:c>
      <x:c r="D26" s="50" t="str">
        <x:v>检定</x:v>
      </x:c>
      <x:c r="E26" s="50" t="str">
        <x:v>拓印后原样放回。</x:v>
      </x:c>
      <x:c r="F26" s="50" t="str">
        <x:v>拓印后原样放回。</x:v>
      </x:c>
      <x:c r="G26" s="50" t="str">
        <x:v>对话 · 白灵、墨言、石岩</x:v>
      </x:c>
      <x:c r="H26" s="50" t="str">
        <x:v>公共后续</x:v>
      </x:c>
      <x:c r="I26" s="50" t="str">
        <x:v>执行专属结果后汇流</x:v>
      </x:c>
      <x:c r="J26" s="50" t="str">
        <x:v>神识MAX≥25成功
ye_evidence+1，第三章可伏击回来取令的人。</x:v>
      </x:c>
      <x:c r="K26" s="50" t="n">
        <x:v>0</x:v>
      </x:c>
      <x:c r="L26" s="50" t="n">
        <x:v>0</x:v>
      </x:c>
      <x:c r="M26" s="50" t="str">
        <x:v>#### 场景 M1-03：两份开山令</x:v>
      </x:c>
    </x:row>
    <x:row r="27" ht="54" customHeight="1">
      <x:c r="A27" s="50" t="str">
        <x:v>M1-03</x:v>
      </x:c>
      <x:c r="B27" s="50" t="n">
        <x:v>6</x:v>
      </x:c>
      <x:c r="C27" s="50" t="str">
        <x:v>main_kunwu_three_ages_main_c01_m1_03_merge_1</x:v>
      </x:c>
      <x:c r="D27" s="50" t="str">
        <x:v>结算</x:v>
      </x:c>
      <x:c r="E27" s="50" t="str">
        <x:v>公共后续</x:v>
      </x:c>
      <x:c r="F27" s="50" t="str">
        <x:v>本组选项在保存各自结果、播放原文明示的专属对白后，于此继续公共剧情。</x:v>
      </x:c>
      <x:c r="G27" s="50" t="str">
        <x:v>带走两份命令。
焚去抽阵令，只留重封令。
拓印后原样放回。</x:v>
      </x:c>
      <x:c r="H27" s="50" t="str">
        <x:v>对话 · 白灵</x:v>
      </x:c>
      <x:c r="I27" s="50" t="str"/>
      <x:c r="J27" s="50" t="str">
        <x:v>selection.save</x:v>
      </x:c>
      <x:c r="K27" s="50" t="n">
        <x:v>0</x:v>
      </x:c>
      <x:c r="L27" s="50" t="n">
        <x:v>0</x:v>
      </x:c>
      <x:c r="M27" s="50" t="str">
        <x:v>#### 场景 M1-03：两份开山令</x:v>
      </x:c>
    </x:row>
    <x:row r="28" ht="54" customHeight="1">
      <x:c r="A28" s="50" t="str">
        <x:v>M1-03</x:v>
      </x:c>
      <x:c r="B28" s="50" t="n">
        <x:v>7</x:v>
      </x:c>
      <x:c r="C28" s="50" t="str">
        <x:v>main_kunwu_three_ages_main_c01_m1_03_dialogue_2</x:v>
      </x:c>
      <x:c r="D28" s="50" t="str">
        <x:v>对话</x:v>
      </x:c>
      <x:c r="E28" s="50" t="str">
        <x:v>对话 · 白灵</x:v>
      </x:c>
      <x:c r="F28" s="50" t="str">
        <x:v>白灵：这些人也许还能引魂问话。</x:v>
      </x:c>
      <x:c r="G28" s="50" t="str">
        <x:v>公共后续</x:v>
      </x:c>
      <x:c r="H28" s="50" t="str">
        <x:v>场景结束</x:v>
      </x:c>
      <x:c r="I28" s="50" t="str"/>
      <x:c r="J28" s="50" t="str"/>
      <x:c r="K28" s="50" t="n">
        <x:v>0</x:v>
      </x:c>
      <x:c r="L28" s="50" t="n">
        <x:v>0</x:v>
      </x:c>
      <x:c r="M28" s="50" t="str">
        <x:v>#### 场景 M1-03：两份开山令</x:v>
      </x:c>
    </x:row>
    <x:row r="29" ht="54" customHeight="1">
      <x:c r="A29" s="50" t="str">
        <x:v>M1-03</x:v>
      </x:c>
      <x:c r="B29" s="50" t="n">
        <x:v>8</x:v>
      </x:c>
      <x:c r="C29" s="50" t="str">
        <x:v>main_kunwu_three_ages_main_c01_m1_03_end</x:v>
      </x:c>
      <x:c r="D29" s="50" t="str">
        <x:v>结束</x:v>
      </x:c>
      <x:c r="E29" s="50" t="str">
        <x:v>场景结束</x:v>
      </x:c>
      <x:c r="F29" s="50" t="str">
        <x:v>M1-03 · 两份开山令</x:v>
      </x:c>
      <x:c r="G29" s="50" t="str">
        <x:v>对话 · 白灵</x:v>
      </x:c>
      <x:c r="H29" s="50" t="str"/>
      <x:c r="I29" s="50" t="str"/>
      <x:c r="J29" s="50" t="str"/>
      <x:c r="K29" s="50" t="n">
        <x:v>0</x:v>
      </x:c>
      <x:c r="L29" s="50" t="n">
        <x:v>0</x:v>
      </x:c>
      <x:c r="M29" s="50" t="str">
        <x:v>#### 场景 M1-03：两份开山令</x:v>
      </x:c>
    </x:row>
    <x:row r="30" ht="54" customHeight="1">
      <x:c r="A30" s="50" t="str">
        <x:v>M1-04</x:v>
      </x:c>
      <x:c r="B30" s="50" t="n">
        <x:v>1</x:v>
      </x:c>
      <x:c r="C30" s="50" t="str">
        <x:v>main_kunwu_three_ages_main_c01_m1_04_entry</x:v>
      </x:c>
      <x:c r="D30" s="50" t="str">
        <x:v>入口</x:v>
      </x:c>
      <x:c r="E30" s="50" t="str">
        <x:v>场景入口</x:v>
      </x:c>
      <x:c r="F30" s="50" t="str">
        <x:v>到达 (24,42)。</x:v>
      </x:c>
      <x:c r="G30" s="50" t="str"/>
      <x:c r="H30" s="50" t="str">
        <x:v>对话 · 岑守一、陆清、墨言</x:v>
      </x:c>
      <x:c r="I30" s="50" t="str"/>
      <x:c r="J30" s="50" t="str"/>
      <x:c r="K30" s="50" t="n">
        <x:v>0</x:v>
      </x:c>
      <x:c r="L30" s="50" t="n">
        <x:v>0</x:v>
      </x:c>
      <x:c r="M30" s="50" t="str">
        <x:v>#### 场景 M1-04：万修之门残碑</x:v>
      </x:c>
    </x:row>
    <x:row r="31" ht="54" customHeight="1">
      <x:c r="A31" s="50" t="str">
        <x:v>M1-04</x:v>
      </x:c>
      <x:c r="B31" s="50" t="n">
        <x:v>2</x:v>
      </x:c>
      <x:c r="C31" s="50" t="str">
        <x:v>main_kunwu_three_ages_main_c01_m1_04_dialogue_1</x:v>
      </x:c>
      <x:c r="D31" s="50" t="str">
        <x:v>对话</x:v>
      </x:c>
      <x:c r="E31" s="50" t="str">
        <x:v>对话 · 岑守一、陆清、墨言</x:v>
      </x:c>
      <x:c r="F31" s="50" t="str">
        <x:v>岑守一：碑上原有万修二字。</x:v>
      </x:c>
      <x:c r="G31" s="50" t="str">
        <x:v>场景入口</x:v>
      </x:c>
      <x:c r="H31" s="50" t="str">
        <x:v>强制结算</x:v>
      </x:c>
      <x:c r="I31" s="50" t="str"/>
      <x:c r="J31" s="50" t="str"/>
      <x:c r="K31" s="50" t="n">
        <x:v>0</x:v>
      </x:c>
      <x:c r="L31" s="50" t="n">
        <x:v>0</x:v>
      </x:c>
      <x:c r="M31" s="50" t="str">
        <x:v>#### 场景 M1-04：万修之门残碑</x:v>
      </x:c>
    </x:row>
    <x:row r="32" ht="54" customHeight="1">
      <x:c r="A32" s="50" t="str">
        <x:v>M1-04</x:v>
      </x:c>
      <x:c r="B32" s="50" t="n">
        <x:v>3</x:v>
      </x:c>
      <x:c r="C32" s="50" t="str">
        <x:v>main_kunwu_three_ages_main_c01_m1_04_action_1</x:v>
      </x:c>
      <x:c r="D32" s="50" t="str">
        <x:v>结算</x:v>
      </x:c>
      <x:c r="E32" s="50" t="str">
        <x:v>强制结算</x:v>
      </x:c>
      <x:c r="F32" s="50" t="str">
        <x:v>强制结算：identity_clues=max(当前,2)，身份档案新增“阵录十三”。即使玩家立即离开，营印反应也已记录， 不能因未选触碰选项而错过身份主线。</x:v>
      </x:c>
      <x:c r="G32" s="50" t="str">
        <x:v>对话 · 岑守一、陆清、墨言</x:v>
      </x:c>
      <x:c r="H32" s="50" t="str">
        <x:v>追问十二年前。
让陆清记录阵纹。
以总印触碰刻痕。</x:v>
      </x:c>
      <x:c r="I32" s="50" t="str"/>
      <x:c r="J32" s="50" t="str">
        <x:v>identity_clues=max(当前,2)</x:v>
      </x:c>
      <x:c r="K32" s="50" t="n">
        <x:v>0</x:v>
      </x:c>
      <x:c r="L32" s="50" t="n">
        <x:v>0</x:v>
      </x:c>
      <x:c r="M32" s="50" t="str">
        <x:v>#### 场景 M1-04：万修之门残碑</x:v>
      </x:c>
    </x:row>
    <x:row r="33" ht="54" customHeight="1">
      <x:c r="A33" s="50" t="str">
        <x:v>M1-04</x:v>
      </x:c>
      <x:c r="B33" s="50" t="n">
        <x:v>4</x:v>
      </x:c>
      <x:c r="C33" s="50" t="str">
        <x:v>main_kunwu_three_ages_main_c01_m1_04_choice_1_1</x:v>
      </x:c>
      <x:c r="D33" s="50" t="str">
        <x:v>检定</x:v>
      </x:c>
      <x:c r="E33" s="50" t="str">
        <x:v>追问十二年前。</x:v>
      </x:c>
      <x:c r="F33" s="50" t="str">
        <x:v>追问十二年前。</x:v>
      </x:c>
      <x:c r="G33" s="50" t="str">
        <x:v>强制结算</x:v>
      </x:c>
      <x:c r="H33" s="50" t="str">
        <x:v>公共后续</x:v>
      </x:c>
      <x:c r="I33" s="50" t="str">
        <x:v>执行专属结果后汇流</x:v>
      </x:c>
      <x:c r="J33" s="50" t="str">
        <x:v>若cen_trust≥1，岑承认旧队失踪
否则切断传讯。</x:v>
      </x:c>
      <x:c r="K33" s="50" t="n">
        <x:v>0</x:v>
      </x:c>
      <x:c r="L33" s="50" t="n">
        <x:v>0</x:v>
      </x:c>
      <x:c r="M33" s="50" t="str">
        <x:v>#### 场景 M1-04：万修之门残碑</x:v>
      </x:c>
    </x:row>
    <x:row r="34" ht="54" customHeight="1">
      <x:c r="A34" s="50" t="str">
        <x:v>M1-04</x:v>
      </x:c>
      <x:c r="B34" s="50" t="n">
        <x:v>5</x:v>
      </x:c>
      <x:c r="C34" s="50" t="str">
        <x:v>main_kunwu_three_ages_main_c01_m1_04_choice_1_2</x:v>
      </x:c>
      <x:c r="D34" s="50" t="str">
        <x:v>检定</x:v>
      </x:c>
      <x:c r="E34" s="50" t="str">
        <x:v>让陆清记录阵纹。</x:v>
      </x:c>
      <x:c r="F34" s="50" t="str">
        <x:v>让陆清记录阵纹。</x:v>
      </x:c>
      <x:c r="G34" s="50" t="str">
        <x:v>强制结算</x:v>
      </x:c>
      <x:c r="H34" s="50" t="str">
        <x:v>公共后续</x:v>
      </x:c>
      <x:c r="I34" s="50" t="str">
        <x:v>执行专属结果后汇流</x:v>
      </x:c>
      <x:c r="J34" s="50" t="str">
        <x:v>得残碑拓印，地图2检定+10。</x:v>
      </x:c>
      <x:c r="K34" s="50" t="n">
        <x:v>1</x:v>
      </x:c>
      <x:c r="L34" s="50" t="n">
        <x:v>0</x:v>
      </x:c>
      <x:c r="M34" s="50" t="str">
        <x:v>#### 场景 M1-04：万修之门残碑</x:v>
      </x:c>
    </x:row>
    <x:row r="35" ht="54" customHeight="1">
      <x:c r="A35" s="50" t="str">
        <x:v>M1-04</x:v>
      </x:c>
      <x:c r="B35" s="50" t="n">
        <x:v>6</x:v>
      </x:c>
      <x:c r="C35" s="50" t="str">
        <x:v>main_kunwu_three_ages_main_c01_m1_04_choice_1_3</x:v>
      </x:c>
      <x:c r="D35" s="50" t="str">
        <x:v>选项</x:v>
      </x:c>
      <x:c r="E35" s="50" t="str">
        <x:v>以总印触碰刻痕。</x:v>
      </x:c>
      <x:c r="F35" s="50" t="str">
        <x:v>以总印触碰刻痕。</x:v>
      </x:c>
      <x:c r="G35" s="50" t="str">
        <x:v>强制结算</x:v>
      </x:c>
      <x:c r="H35" s="50" t="str">
        <x:v>公共后续</x:v>
      </x:c>
      <x:c r="I35" s="50" t="str">
        <x:v>执行专属结果后汇流</x:v>
      </x:c>
      <x:c r="J35" s="50" t="str">
        <x:v>看见十二道背影和一只握印的手
解锁额外回看，同时获得魔气侵蚀1层和魂晶100。</x:v>
      </x:c>
      <x:c r="K35" s="50" t="n">
        <x:v>2</x:v>
      </x:c>
      <x:c r="L35" s="50" t="n">
        <x:v>0</x:v>
      </x:c>
      <x:c r="M35" s="50" t="str">
        <x:v>#### 场景 M1-04：万修之门残碑</x:v>
      </x:c>
    </x:row>
    <x:row r="36" ht="54" customHeight="1">
      <x:c r="A36" s="50" t="str">
        <x:v>M1-04</x:v>
      </x:c>
      <x:c r="B36" s="50" t="n">
        <x:v>7</x:v>
      </x:c>
      <x:c r="C36" s="50" t="str">
        <x:v>main_kunwu_three_ages_main_c01_m1_04_merge_1</x:v>
      </x:c>
      <x:c r="D36" s="50" t="str">
        <x:v>结算</x:v>
      </x:c>
      <x:c r="E36" s="50" t="str">
        <x:v>公共后续</x:v>
      </x:c>
      <x:c r="F36" s="50" t="str">
        <x:v>本组选项在保存各自结果、播放原文明示的专属对白后，于此继续公共剧情。</x:v>
      </x:c>
      <x:c r="G36" s="50" t="str">
        <x:v>追问十二年前。
让陆清记录阵纹。
以总印触碰刻痕。</x:v>
      </x:c>
      <x:c r="H36" s="50" t="str">
        <x:v>场景结束</x:v>
      </x:c>
      <x:c r="I36" s="50" t="str"/>
      <x:c r="J36" s="50" t="str">
        <x:v>selection.save</x:v>
      </x:c>
      <x:c r="K36" s="50" t="n">
        <x:v>0</x:v>
      </x:c>
      <x:c r="L36" s="50" t="n">
        <x:v>0</x:v>
      </x:c>
      <x:c r="M36" s="50" t="str">
        <x:v>#### 场景 M1-04：万修之门残碑</x:v>
      </x:c>
    </x:row>
    <x:row r="37" ht="54" customHeight="1">
      <x:c r="A37" s="50" t="str">
        <x:v>M1-04</x:v>
      </x:c>
      <x:c r="B37" s="50" t="n">
        <x:v>8</x:v>
      </x:c>
      <x:c r="C37" s="50" t="str">
        <x:v>main_kunwu_three_ages_main_c01_m1_04_end</x:v>
      </x:c>
      <x:c r="D37" s="50" t="str">
        <x:v>结束</x:v>
      </x:c>
      <x:c r="E37" s="50" t="str">
        <x:v>场景结束</x:v>
      </x:c>
      <x:c r="F37" s="50" t="str">
        <x:v>M1-04 · 万修之门残碑</x:v>
      </x:c>
      <x:c r="G37" s="50" t="str">
        <x:v>公共后续</x:v>
      </x:c>
      <x:c r="H37" s="50" t="str"/>
      <x:c r="I37" s="50" t="str"/>
      <x:c r="J37" s="50" t="str"/>
      <x:c r="K37" s="50" t="n">
        <x:v>0</x:v>
      </x:c>
      <x:c r="L37" s="50" t="n">
        <x:v>0</x:v>
      </x:c>
      <x:c r="M37" s="50" t="str">
        <x:v>#### 场景 M1-04：万修之门残碑</x:v>
      </x:c>
    </x:row>
    <x:row r="38" ht="54" customHeight="1">
      <x:c r="A38" s="50" t="str">
        <x:v>M1-05</x:v>
      </x:c>
      <x:c r="B38" s="50" t="n">
        <x:v>1</x:v>
      </x:c>
      <x:c r="C38" s="50" t="str">
        <x:v>main_kunwu_three_ages_main_c01_m1_05_entry</x:v>
      </x:c>
      <x:c r="D38" s="50" t="str">
        <x:v>入口</x:v>
      </x:c>
      <x:c r="E38" s="50" t="str">
        <x:v>场景入口</x:v>
      </x:c>
      <x:c r="F38" s="50" t="str">
        <x:v>接近 (24,8)。</x:v>
      </x:c>
      <x:c r="G38" s="50" t="str"/>
      <x:c r="H38" s="50" t="str">
        <x:v>对话 · 叶观衡、墨言、石岩</x:v>
      </x:c>
      <x:c r="I38" s="50" t="str"/>
      <x:c r="J38" s="50" t="str"/>
      <x:c r="K38" s="50" t="n">
        <x:v>0</x:v>
      </x:c>
      <x:c r="L38" s="50" t="n">
        <x:v>0</x:v>
      </x:c>
      <x:c r="M38" s="50" t="str">
        <x:v>#### 场景 M1-05：守门石灵战前</x:v>
      </x:c>
    </x:row>
    <x:row r="39" ht="54" customHeight="1">
      <x:c r="A39" s="50" t="str">
        <x:v>M1-05</x:v>
      </x:c>
      <x:c r="B39" s="50" t="n">
        <x:v>2</x:v>
      </x:c>
      <x:c r="C39" s="50" t="str">
        <x:v>main_kunwu_three_ages_main_c01_m1_05_dialogue_1</x:v>
      </x:c>
      <x:c r="D39" s="50" t="str">
        <x:v>对话</x:v>
      </x:c>
      <x:c r="E39" s="50" t="str">
        <x:v>对话 · 叶观衡、墨言、石岩</x:v>
      </x:c>
      <x:c r="F39" s="50" t="str">
        <x:v>叶观衡：外营的人，退下。</x:v>
      </x:c>
      <x:c r="G39" s="50" t="str">
        <x:v>场景入口</x:v>
      </x:c>
      <x:c r="H39" s="50" t="str">
        <x:v>出示两份命令。
要求叶观衡现身。
不与他争，准备战斗。</x:v>
      </x:c>
      <x:c r="I39" s="50" t="str"/>
      <x:c r="J39" s="50" t="str"/>
      <x:c r="K39" s="50" t="n">
        <x:v>0</x:v>
      </x:c>
      <x:c r="L39" s="50" t="n">
        <x:v>0</x:v>
      </x:c>
      <x:c r="M39" s="50" t="str">
        <x:v>#### 场景 M1-05：守门石灵战前</x:v>
      </x:c>
    </x:row>
    <x:row r="40" ht="54" customHeight="1">
      <x:c r="A40" s="50" t="str">
        <x:v>M1-05</x:v>
      </x:c>
      <x:c r="B40" s="50" t="n">
        <x:v>3</x:v>
      </x:c>
      <x:c r="C40" s="50" t="str">
        <x:v>main_kunwu_three_ages_main_c01_m1_05_choice_1_1</x:v>
      </x:c>
      <x:c r="D40" s="50" t="str">
        <x:v>选项</x:v>
      </x:c>
      <x:c r="E40" s="50" t="str">
        <x:v>出示两份命令。</x:v>
      </x:c>
      <x:c r="F40" s="50" t="str">
        <x:v>出示两份命令。</x:v>
      </x:c>
      <x:c r="G40" s="50" t="str">
        <x:v>对话 · 叶观衡、墨言、石岩</x:v>
      </x:c>
      <x:c r="H40" s="50" t="str">
        <x:v>公共后续</x:v>
      </x:c>
      <x:c r="I40" s="50" t="str">
        <x:v>执行专属结果后汇流</x:v>
      </x:c>
      <x:c r="J40" s="50" t="str">
        <x:v>需持有
叶观衡沉默后称其中一份伪造
ye_guanheng_exposed进度+1。</x:v>
      </x:c>
      <x:c r="K40" s="50" t="n">
        <x:v>0</x:v>
      </x:c>
      <x:c r="L40" s="50" t="n">
        <x:v>0</x:v>
      </x:c>
      <x:c r="M40" s="50" t="str">
        <x:v>#### 场景 M1-05：守门石灵战前</x:v>
      </x:c>
    </x:row>
    <x:row r="41" ht="54" customHeight="1">
      <x:c r="A41" s="50" t="str">
        <x:v>M1-05</x:v>
      </x:c>
      <x:c r="B41" s="50" t="n">
        <x:v>4</x:v>
      </x:c>
      <x:c r="C41" s="50" t="str">
        <x:v>main_kunwu_three_ages_main_c01_m1_05_choice_1_2</x:v>
      </x:c>
      <x:c r="D41" s="50" t="str">
        <x:v>选项</x:v>
      </x:c>
      <x:c r="E41" s="50" t="str">
        <x:v>要求叶观衡现身。</x:v>
      </x:c>
      <x:c r="F41" s="50" t="str">
        <x:v>要求叶观衡现身。</x:v>
      </x:c>
      <x:c r="G41" s="50" t="str">
        <x:v>对话 · 叶观衡、墨言、石岩</x:v>
      </x:c>
      <x:c r="H41" s="50" t="str">
        <x:v>公共后续</x:v>
      </x:c>
      <x:c r="I41" s="50" t="str">
        <x:v>执行专属结果后汇流</x:v>
      </x:c>
      <x:c r="J41" s="50" t="str">
        <x:v>他拒绝
石灵开场反震计数少1层。</x:v>
      </x:c>
      <x:c r="K41" s="50" t="n">
        <x:v>0</x:v>
      </x:c>
      <x:c r="L41" s="50" t="n">
        <x:v>0</x:v>
      </x:c>
      <x:c r="M41" s="50" t="str">
        <x:v>#### 场景 M1-05：守门石灵战前</x:v>
      </x:c>
    </x:row>
    <x:row r="42" ht="54" customHeight="1">
      <x:c r="A42" s="50" t="str">
        <x:v>M1-05</x:v>
      </x:c>
      <x:c r="B42" s="50" t="n">
        <x:v>5</x:v>
      </x:c>
      <x:c r="C42" s="50" t="str">
        <x:v>main_kunwu_three_ages_main_c01_m1_05_choice_1_3</x:v>
      </x:c>
      <x:c r="D42" s="50" t="str">
        <x:v>选项</x:v>
      </x:c>
      <x:c r="E42" s="50" t="str">
        <x:v>不与他争，准备战斗。</x:v>
      </x:c>
      <x:c r="F42" s="50" t="str">
        <x:v>不与他争，准备战斗。</x:v>
      </x:c>
      <x:c r="G42" s="50" t="str">
        <x:v>对话 · 叶观衡、墨言、石岩</x:v>
      </x:c>
      <x:c r="H42" s="50" t="str">
        <x:v>公共后续</x:v>
      </x:c>
      <x:c r="I42" s="50" t="str">
        <x:v>执行专属结果后汇流</x:v>
      </x:c>
      <x:c r="J42" s="50" t="str">
        <x:v>全队获得40tick伤害+5%。</x:v>
      </x:c>
      <x:c r="K42" s="50" t="n">
        <x:v>1</x:v>
      </x:c>
      <x:c r="L42" s="50" t="n">
        <x:v>0</x:v>
      </x:c>
      <x:c r="M42" s="50" t="str">
        <x:v>#### 场景 M1-05：守门石灵战前</x:v>
      </x:c>
    </x:row>
    <x:row r="43" ht="54" customHeight="1">
      <x:c r="A43" s="50" t="str">
        <x:v>M1-05</x:v>
      </x:c>
      <x:c r="B43" s="50" t="n">
        <x:v>6</x:v>
      </x:c>
      <x:c r="C43" s="50" t="str">
        <x:v>main_kunwu_three_ages_main_c01_m1_05_merge_1</x:v>
      </x:c>
      <x:c r="D43" s="50" t="str">
        <x:v>结算</x:v>
      </x:c>
      <x:c r="E43" s="50" t="str">
        <x:v>公共后续</x:v>
      </x:c>
      <x:c r="F43" s="50" t="str">
        <x:v>本组选项在保存各自结果、播放原文明示的专属对白后，于此继续公共剧情。</x:v>
      </x:c>
      <x:c r="G43" s="50" t="str">
        <x:v>出示两份命令。
要求叶观衡现身。
不与他争，准备战斗。</x:v>
      </x:c>
      <x:c r="H43" s="50" t="str">
        <x:v>对话 · 陆清、白灵、玩家</x:v>
      </x:c>
      <x:c r="I43" s="50" t="str"/>
      <x:c r="J43" s="50" t="str">
        <x:v>selection.save</x:v>
      </x:c>
      <x:c r="K43" s="50" t="n">
        <x:v>0</x:v>
      </x:c>
      <x:c r="L43" s="50" t="n">
        <x:v>0</x:v>
      </x:c>
      <x:c r="M43" s="50" t="str">
        <x:v>#### 场景 M1-05：守门石灵战前</x:v>
      </x:c>
    </x:row>
    <x:row r="44" ht="54" customHeight="1">
      <x:c r="A44" s="50" t="str">
        <x:v>M1-05</x:v>
      </x:c>
      <x:c r="B44" s="50" t="n">
        <x:v>7</x:v>
      </x:c>
      <x:c r="C44" s="50" t="str">
        <x:v>main_kunwu_three_ages_main_c01_m1_05_dialogue_2</x:v>
      </x:c>
      <x:c r="D44" s="50" t="str">
        <x:v>对话</x:v>
      </x:c>
      <x:c r="E44" s="50" t="str">
        <x:v>对话 · 陆清、白灵、玩家</x:v>
      </x:c>
      <x:c r="F44" s="50" t="str">
        <x:v>陆清：核心里的命令，不是守门。</x:v>
      </x:c>
      <x:c r="G44" s="50" t="str">
        <x:v>公共后续</x:v>
      </x:c>
      <x:c r="H44" s="50" t="str">
        <x:v>守门石灵</x:v>
      </x:c>
      <x:c r="I44" s="50" t="str"/>
      <x:c r="J44" s="50" t="str"/>
      <x:c r="K44" s="50" t="n">
        <x:v>0</x:v>
      </x:c>
      <x:c r="L44" s="50" t="n">
        <x:v>0</x:v>
      </x:c>
      <x:c r="M44" s="50" t="str">
        <x:v>#### 场景 M1-05：守门石灵战前</x:v>
      </x:c>
    </x:row>
    <x:row r="45" ht="54" customHeight="1">
      <x:c r="A45" s="50" t="str">
        <x:v>M1-05</x:v>
      </x:c>
      <x:c r="B45" s="50" t="n">
        <x:v>8</x:v>
      </x:c>
      <x:c r="C45" s="50" t="str">
        <x:v>main_kunwu_three_ages_main_c01_m1_05_combat_1</x:v>
      </x:c>
      <x:c r="D45" s="50" t="str">
        <x:v>战斗</x:v>
      </x:c>
      <x:c r="E45" s="50" t="str">
        <x:v>守门石灵</x:v>
      </x:c>
      <x:c r="F45" s="50" t="str">
        <x:v>M1-05「守门石灵战前」关联战斗；精确数值仍待产品化。</x:v>
      </x:c>
      <x:c r="G45" s="50" t="str">
        <x:v>对话 · 陆清、白灵、玩家</x:v>
      </x:c>
      <x:c r="H45" s="50" t="str">
        <x:v>章节结算</x:v>
      </x:c>
      <x:c r="I45" s="50" t="str"/>
      <x:c r="J45" s="50" t="str"/>
      <x:c r="K45" s="50" t="n">
        <x:v>0</x:v>
      </x:c>
      <x:c r="L45" s="50" t="n">
        <x:v>0</x:v>
      </x:c>
      <x:c r="M45" s="50" t="str">
        <x:v>#### 场景 M1-05：守门石灵战前</x:v>
      </x:c>
    </x:row>
    <x:row r="46" ht="54" customHeight="1">
      <x:c r="A46" s="50" t="str">
        <x:v>M1-05</x:v>
      </x:c>
      <x:c r="B46" s="50" t="n">
        <x:v>9</x:v>
      </x:c>
      <x:c r="C46" s="50" t="str">
        <x:v>main_kunwu_three_ages_main_c01_m1_05_action_1</x:v>
      </x:c>
      <x:c r="D46" s="50" t="str">
        <x:v>结算</x:v>
      </x:c>
      <x:c r="E46" s="50" t="str">
        <x:v>章节结算</x:v>
      </x:c>
      <x:c r="F46" s="50" t="str">
        <x:v>章节结算：seal_integrity+1，解锁地图2、炼器坊/替代解锁、第一次全队调息；石灵核心同时 解锁护法令碎片配方与首件核心，不直接发放固定七维成品。</x:v>
      </x:c>
      <x:c r="G46" s="50" t="str">
        <x:v>守门石灵</x:v>
      </x:c>
      <x:c r="H46" s="50" t="str">
        <x:v>场景结束</x:v>
      </x:c>
      <x:c r="I46" s="50" t="str"/>
      <x:c r="J46" s="50" t="str">
        <x:v>seal_integrity+1</x:v>
      </x:c>
      <x:c r="K46" s="50" t="n">
        <x:v>5</x:v>
      </x:c>
      <x:c r="L46" s="50" t="n">
        <x:v>0</x:v>
      </x:c>
      <x:c r="M46" s="50" t="str">
        <x:v>#### 场景 M1-05：守门石灵战前</x:v>
      </x:c>
    </x:row>
    <x:row r="47" ht="54" customHeight="1">
      <x:c r="A47" s="51" t="str">
        <x:v>M1-05</x:v>
      </x:c>
      <x:c r="B47" s="51" t="n">
        <x:v>10</x:v>
      </x:c>
      <x:c r="C47" s="51" t="str">
        <x:v>main_kunwu_three_ages_main_c01_m1_05_end</x:v>
      </x:c>
      <x:c r="D47" s="51" t="str">
        <x:v>结束</x:v>
      </x:c>
      <x:c r="E47" s="51" t="str">
        <x:v>场景结束</x:v>
      </x:c>
      <x:c r="F47" s="51" t="str">
        <x:v>M1-05 · 守门石灵战前</x:v>
      </x:c>
      <x:c r="G47" s="51" t="str">
        <x:v>章节结算</x:v>
      </x:c>
      <x:c r="H47" s="51" t="str"/>
      <x:c r="I47" s="51" t="str"/>
      <x:c r="J47" s="51" t="str"/>
      <x:c r="K47" s="51" t="n">
        <x:v>0</x:v>
      </x:c>
      <x:c r="L47" s="51" t="n">
        <x:v>0</x:v>
      </x:c>
      <x:c r="M47" s="51" t="str">
        <x:v>#### 场景 M1-05：守门石灵战前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698ba612c1e41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.329999923706055" hidden="0" customWidth="1"/>
    <x:col min="3" max="3" width="10.220000267028809" hidden="0" customWidth="1"/>
    <x:col min="4" max="4" width="16.110000610351562" hidden="0" customWidth="1"/>
    <x:col min="5" max="5" width="5.78000020980835" hidden="0" customWidth="1"/>
    <x:col min="6" max="6" width="9.779999732971191" hidden="0" customWidth="1"/>
    <x:col min="7" max="7" width="36.66999816894531" hidden="0" customWidth="1"/>
    <x:col min="8" max="8" width="8.329999923706055" hidden="0" customWidth="1"/>
    <x:col min="9" max="9" width="6.110000133514404" hidden="0" customWidth="1"/>
    <x:col min="10" max="10" width="8.329999923706055" hidden="0" customWidth="1"/>
    <x:col min="11" max="11" width="21.110000610351562" hidden="0" customWidth="1"/>
  </x:cols>
  <x:sheetData>
    <x:row r="1" ht="34" customHeight="1">
      <x:c r="A1" s="3" t="str">
        <x:v>C01 对白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3" customHeight="1">
      <x:c r="A2" s="6" t="str">
        <x:v>包括正文代码块台词与选项结果中明确写出的专属对白；字数和超限状态由公式计算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38" t="str">
        <x:v>场景</x:v>
      </x:c>
      <x:c r="B4" s="39" t="str">
        <x:v>场景名</x:v>
      </x:c>
      <x:c r="C4" s="39" t="str">
        <x:v>对白类型</x:v>
      </x:c>
      <x:c r="D4" s="39" t="str">
        <x:v>节点</x:v>
      </x:c>
      <x:c r="E4" s="39" t="str">
        <x:v>句序</x:v>
      </x:c>
      <x:c r="F4" s="39" t="str">
        <x:v>说话人</x:v>
      </x:c>
      <x:c r="G4" s="39" t="str">
        <x:v>台词</x:v>
      </x:c>
      <x:c r="H4" s="39" t="str">
        <x:v>表情</x:v>
      </x:c>
      <x:c r="I4" s="39" t="str">
        <x:v>字数</x:v>
      </x:c>
      <x:c r="J4" s="39" t="str">
        <x:v>超过36字</x:v>
      </x:c>
      <x:c r="K4" s="40" t="str">
        <x:v>来源标题</x:v>
      </x:c>
    </x:row>
    <x:row r="5" ht="40" customHeight="1">
      <x:c r="A5" s="49" t="str">
        <x:v>M1-01</x:v>
      </x:c>
      <x:c r="B5" s="49" t="str">
        <x:v>第一盏阵灯</x:v>
      </x:c>
      <x:c r="C5" s="49" t="str">
        <x:v>主对话</x:v>
      </x:c>
      <x:c r="D5" s="49" t="str">
        <x:v>对话 · 陆清、石岩、墨言</x:v>
      </x:c>
      <x:c r="E5" s="82" t="n">
        <x:v>1</x:v>
      </x:c>
      <x:c r="F5" s="49" t="str">
        <x:v>陆清</x:v>
      </x:c>
      <x:c r="G5" s="49" t="str">
        <x:v>灯芯完整，阵纹却反了。</x:v>
      </x:c>
      <x:c r="H5" s="49" t="str">
        <x:v>默认</x:v>
      </x:c>
      <x:c r="I5" s="82" t="n">
        <x:f>LEN(SUBSTITUTE(G5," ",""))</x:f>
        <x:v>11</x:v>
      </x:c>
      <x:c r="J5" s="49" t="str">
        <x:f>IF(I5&gt;36,"是","否")</x:f>
        <x:v>否</x:v>
      </x:c>
      <x:c r="K5" s="49" t="str">
        <x:v>#### 场景 M1-01：第一盏阵灯</x:v>
      </x:c>
    </x:row>
    <x:row r="6" ht="40" customHeight="1">
      <x:c r="A6" s="50" t="str">
        <x:v>M1-01</x:v>
      </x:c>
      <x:c r="B6" s="50" t="str">
        <x:v>第一盏阵灯</x:v>
      </x:c>
      <x:c r="C6" s="50" t="str">
        <x:v>主对话</x:v>
      </x:c>
      <x:c r="D6" s="50" t="str">
        <x:v>对话 · 陆清、石岩、墨言</x:v>
      </x:c>
      <x:c r="E6" s="83" t="n">
        <x:v>2</x:v>
      </x:c>
      <x:c r="F6" s="50" t="str">
        <x:v>石岩</x:v>
      </x:c>
      <x:c r="G6" s="50" t="str">
        <x:v>反了会怎样？</x:v>
      </x:c>
      <x:c r="H6" s="50" t="str">
        <x:v>默认</x:v>
      </x:c>
      <x:c r="I6" s="83" t="n">
        <x:f>LEN(SUBSTITUTE(G6," ",""))</x:f>
        <x:v>6</x:v>
      </x:c>
      <x:c r="J6" s="50" t="str">
        <x:f>IF(I6&gt;36,"是","否")</x:f>
        <x:v>否</x:v>
      </x:c>
      <x:c r="K6" s="50" t="str">
        <x:v>#### 场景 M1-01：第一盏阵灯</x:v>
      </x:c>
    </x:row>
    <x:row r="7" ht="40" customHeight="1">
      <x:c r="A7" s="50" t="str">
        <x:v>M1-01</x:v>
      </x:c>
      <x:c r="B7" s="50" t="str">
        <x:v>第一盏阵灯</x:v>
      </x:c>
      <x:c r="C7" s="50" t="str">
        <x:v>主对话</x:v>
      </x:c>
      <x:c r="D7" s="50" t="str">
        <x:v>对话 · 陆清、石岩、墨言</x:v>
      </x:c>
      <x:c r="E7" s="83" t="n">
        <x:v>3</x:v>
      </x:c>
      <x:c r="F7" s="50" t="str">
        <x:v>陆清</x:v>
      </x:c>
      <x:c r="G7" s="50" t="str">
        <x:v>它在从山外向山里送灵力。</x:v>
      </x:c>
      <x:c r="H7" s="50" t="str">
        <x:v>默认</x:v>
      </x:c>
      <x:c r="I7" s="83" t="n">
        <x:f>LEN(SUBSTITUTE(G7," ",""))</x:f>
        <x:v>12</x:v>
      </x:c>
      <x:c r="J7" s="50" t="str">
        <x:f>IF(I7&gt;36,"是","否")</x:f>
        <x:v>否</x:v>
      </x:c>
      <x:c r="K7" s="50" t="str">
        <x:v>#### 场景 M1-01：第一盏阵灯</x:v>
      </x:c>
    </x:row>
    <x:row r="8" ht="40" customHeight="1">
      <x:c r="A8" s="50" t="str">
        <x:v>M1-01</x:v>
      </x:c>
      <x:c r="B8" s="50" t="str">
        <x:v>第一盏阵灯</x:v>
      </x:c>
      <x:c r="C8" s="50" t="str">
        <x:v>主对话</x:v>
      </x:c>
      <x:c r="D8" s="50" t="str">
        <x:v>对话 · 陆清、石岩、墨言</x:v>
      </x:c>
      <x:c r="E8" s="83" t="n">
        <x:v>4</x:v>
      </x:c>
      <x:c r="F8" s="50" t="str">
        <x:v>墨言</x:v>
      </x:c>
      <x:c r="G8" s="50" t="str">
        <x:v>不是坏，是有人改过。</x:v>
      </x:c>
      <x:c r="H8" s="50" t="str">
        <x:v>默认</x:v>
      </x:c>
      <x:c r="I8" s="83" t="n">
        <x:f>LEN(SUBSTITUTE(G8," ",""))</x:f>
        <x:v>10</x:v>
      </x:c>
      <x:c r="J8" s="50" t="str">
        <x:f>IF(I8&gt;36,"是","否")</x:f>
        <x:v>否</x:v>
      </x:c>
      <x:c r="K8" s="50" t="str">
        <x:v>#### 场景 M1-01：第一盏阵灯</x:v>
      </x:c>
    </x:row>
    <x:row r="9" ht="40" customHeight="1">
      <x:c r="A9" s="50" t="str">
        <x:v>M1-01</x:v>
      </x:c>
      <x:c r="B9" s="50" t="str">
        <x:v>第一盏阵灯</x:v>
      </x:c>
      <x:c r="C9" s="50" t="str">
        <x:v>主对话</x:v>
      </x:c>
      <x:c r="D9" s="50" t="str">
        <x:v>对话 · 陆清、石岩、墨言</x:v>
      </x:c>
      <x:c r="E9" s="83" t="n">
        <x:v>5</x:v>
      </x:c>
      <x:c r="F9" s="50" t="str">
        <x:v>白灵</x:v>
      </x:c>
      <x:c r="G9" s="50" t="str">
        <x:v>地上有拖痕。人被带走了。</x:v>
      </x:c>
      <x:c r="H9" s="50" t="str">
        <x:v>默认</x:v>
      </x:c>
      <x:c r="I9" s="83" t="n">
        <x:f>LEN(SUBSTITUTE(G9," ",""))</x:f>
        <x:v>12</x:v>
      </x:c>
      <x:c r="J9" s="50" t="str">
        <x:f>IF(I9&gt;36,"是","否")</x:f>
        <x:v>否</x:v>
      </x:c>
      <x:c r="K9" s="50" t="str">
        <x:v>#### 场景 M1-01：第一盏阵灯</x:v>
      </x:c>
    </x:row>
    <x:row r="10" ht="40" customHeight="1">
      <x:c r="A10" s="50" t="str">
        <x:v>M1-02</x:v>
      </x:c>
      <x:c r="B10" s="50" t="str">
        <x:v>顾南炉的求救</x:v>
      </x:c>
      <x:c r="C10" s="50" t="str">
        <x:v>主对话</x:v>
      </x:c>
      <x:c r="D10" s="50" t="str">
        <x:v>对话 · 顾南炉、石岩、墨言</x:v>
      </x:c>
      <x:c r="E10" s="83" t="n">
        <x:v>1</x:v>
      </x:c>
      <x:c r="F10" s="50" t="str">
        <x:v>顾南炉</x:v>
      </x:c>
      <x:c r="G10" s="50" t="str">
        <x:v>别敲！上面整片都要塌！</x:v>
      </x:c>
      <x:c r="H10" s="50" t="str">
        <x:v>默认</x:v>
      </x:c>
      <x:c r="I10" s="83" t="n">
        <x:f>LEN(SUBSTITUTE(G10," ",""))</x:f>
        <x:v>11</x:v>
      </x:c>
      <x:c r="J10" s="50" t="str">
        <x:f>IF(I10&gt;36,"是","否")</x:f>
        <x:v>否</x:v>
      </x:c>
      <x:c r="K10" s="50" t="str">
        <x:v>#### 场景 M1-02：顾南炉的求救</x:v>
      </x:c>
    </x:row>
    <x:row r="11" ht="40" customHeight="1">
      <x:c r="A11" s="50" t="str">
        <x:v>M1-02</x:v>
      </x:c>
      <x:c r="B11" s="50" t="str">
        <x:v>顾南炉的求救</x:v>
      </x:c>
      <x:c r="C11" s="50" t="str">
        <x:v>主对话</x:v>
      </x:c>
      <x:c r="D11" s="50" t="str">
        <x:v>对话 · 顾南炉、石岩、墨言</x:v>
      </x:c>
      <x:c r="E11" s="83" t="n">
        <x:v>2</x:v>
      </x:c>
      <x:c r="F11" s="50" t="str">
        <x:v>石岩</x:v>
      </x:c>
      <x:c r="G11" s="50" t="str">
        <x:v>里面有人。</x:v>
      </x:c>
      <x:c r="H11" s="50" t="str">
        <x:v>默认</x:v>
      </x:c>
      <x:c r="I11" s="83" t="n">
        <x:f>LEN(SUBSTITUTE(G11," ",""))</x:f>
        <x:v>5</x:v>
      </x:c>
      <x:c r="J11" s="50" t="str">
        <x:f>IF(I11&gt;36,"是","否")</x:f>
        <x:v>否</x:v>
      </x:c>
      <x:c r="K11" s="50" t="str">
        <x:v>#### 场景 M1-02：顾南炉的求救</x:v>
      </x:c>
    </x:row>
    <x:row r="12" ht="40" customHeight="1">
      <x:c r="A12" s="50" t="str">
        <x:v>M1-02</x:v>
      </x:c>
      <x:c r="B12" s="50" t="str">
        <x:v>顾南炉的求救</x:v>
      </x:c>
      <x:c r="C12" s="50" t="str">
        <x:v>主对话</x:v>
      </x:c>
      <x:c r="D12" s="50" t="str">
        <x:v>对话 · 顾南炉、石岩、墨言</x:v>
      </x:c>
      <x:c r="E12" s="83" t="n">
        <x:v>3</x:v>
      </x:c>
      <x:c r="F12" s="50" t="str">
        <x:v>墨言</x:v>
      </x:c>
      <x:c r="G12" s="50" t="str">
        <x:v>也可能有人学得很像。</x:v>
      </x:c>
      <x:c r="H12" s="50" t="str">
        <x:v>默认</x:v>
      </x:c>
      <x:c r="I12" s="83" t="n">
        <x:f>LEN(SUBSTITUTE(G12," ",""))</x:f>
        <x:v>10</x:v>
      </x:c>
      <x:c r="J12" s="50" t="str">
        <x:f>IF(I12&gt;36,"是","否")</x:f>
        <x:v>否</x:v>
      </x:c>
      <x:c r="K12" s="50" t="str">
        <x:v>#### 场景 M1-02：顾南炉的求救</x:v>
      </x:c>
    </x:row>
    <x:row r="13" ht="40" customHeight="1">
      <x:c r="A13" s="50" t="str">
        <x:v>M1-02</x:v>
      </x:c>
      <x:c r="B13" s="50" t="str">
        <x:v>顾南炉的求救</x:v>
      </x:c>
      <x:c r="C13" s="50" t="str">
        <x:v>主对话</x:v>
      </x:c>
      <x:c r="D13" s="50" t="str">
        <x:v>对话 · 顾南炉、石岩、墨言</x:v>
      </x:c>
      <x:c r="E13" s="83" t="n">
        <x:v>4</x:v>
      </x:c>
      <x:c r="F13" s="50" t="str">
        <x:v>顾南炉</x:v>
      </x:c>
      <x:c r="G13" s="50" t="str">
        <x:v>我有名字！顾南炉！</x:v>
      </x:c>
      <x:c r="H13" s="50" t="str">
        <x:v>默认</x:v>
      </x:c>
      <x:c r="I13" s="83" t="n">
        <x:f>LEN(SUBSTITUTE(G13," ",""))</x:f>
        <x:v>9</x:v>
      </x:c>
      <x:c r="J13" s="50" t="str">
        <x:f>IF(I13&gt;36,"是","否")</x:f>
        <x:v>否</x:v>
      </x:c>
      <x:c r="K13" s="50" t="str">
        <x:v>#### 场景 M1-02：顾南炉的求救</x:v>
      </x:c>
    </x:row>
    <x:row r="14" ht="40" customHeight="1">
      <x:c r="A14" s="50" t="str">
        <x:v>M1-02</x:v>
      </x:c>
      <x:c r="B14" s="50" t="str">
        <x:v>顾南炉的求救</x:v>
      </x:c>
      <x:c r="C14" s="50" t="str">
        <x:v>主对话</x:v>
      </x:c>
      <x:c r="D14" s="50" t="str">
        <x:v>对话 · 顾南炉、石岩、墨言</x:v>
      </x:c>
      <x:c r="E14" s="83" t="n">
        <x:v>5</x:v>
      </x:c>
      <x:c r="F14" s="50" t="str">
        <x:v>顾南炉</x:v>
      </x:c>
      <x:c r="G14" s="50" t="str">
        <x:v>叶家雇我修阵器，又要灭口。</x:v>
      </x:c>
      <x:c r="H14" s="50" t="str">
        <x:v>默认</x:v>
      </x:c>
      <x:c r="I14" s="83" t="n">
        <x:f>LEN(SUBSTITUTE(G14," ",""))</x:f>
        <x:v>13</x:v>
      </x:c>
      <x:c r="J14" s="50" t="str">
        <x:f>IF(I14&gt;36,"是","否")</x:f>
        <x:v>否</x:v>
      </x:c>
      <x:c r="K14" s="50" t="str">
        <x:v>#### 场景 M1-02：顾南炉的求救</x:v>
      </x:c>
    </x:row>
    <x:row r="15" ht="40" customHeight="1">
      <x:c r="A15" s="50" t="str">
        <x:v>M1-02</x:v>
      </x:c>
      <x:c r="B15" s="50" t="str">
        <x:v>顾南炉的求救</x:v>
      </x:c>
      <x:c r="C15" s="50" t="str">
        <x:v>主对话</x:v>
      </x:c>
      <x:c r="D15" s="50" t="str">
        <x:v>对话 · 顾南炉、陆清、墨言</x:v>
      </x:c>
      <x:c r="E15" s="83" t="n">
        <x:v>1</x:v>
      </x:c>
      <x:c r="F15" s="50" t="str">
        <x:v>顾南炉</x:v>
      </x:c>
      <x:c r="G15" s="50" t="str">
        <x:v>他们把阵灯改成了抽灵钉。</x:v>
      </x:c>
      <x:c r="H15" s="50" t="str">
        <x:v>默认</x:v>
      </x:c>
      <x:c r="I15" s="83" t="n">
        <x:f>LEN(SUBSTITUTE(G15," ",""))</x:f>
        <x:v>12</x:v>
      </x:c>
      <x:c r="J15" s="50" t="str">
        <x:f>IF(I15&gt;36,"是","否")</x:f>
        <x:v>否</x:v>
      </x:c>
      <x:c r="K15" s="50" t="str">
        <x:v>#### 场景 M1-02：顾南炉的求救</x:v>
      </x:c>
    </x:row>
    <x:row r="16" ht="40" customHeight="1">
      <x:c r="A16" s="50" t="str">
        <x:v>M1-02</x:v>
      </x:c>
      <x:c r="B16" s="50" t="str">
        <x:v>顾南炉的求救</x:v>
      </x:c>
      <x:c r="C16" s="50" t="str">
        <x:v>主对话</x:v>
      </x:c>
      <x:c r="D16" s="50" t="str">
        <x:v>对话 · 顾南炉、陆清、墨言</x:v>
      </x:c>
      <x:c r="E16" s="83" t="n">
        <x:v>2</x:v>
      </x:c>
      <x:c r="F16" s="50" t="str">
        <x:v>陆清</x:v>
      </x:c>
      <x:c r="G16" s="50" t="str">
        <x:v>谁给你的图？</x:v>
      </x:c>
      <x:c r="H16" s="50" t="str">
        <x:v>默认</x:v>
      </x:c>
      <x:c r="I16" s="83" t="n">
        <x:f>LEN(SUBSTITUTE(G16," ",""))</x:f>
        <x:v>6</x:v>
      </x:c>
      <x:c r="J16" s="50" t="str">
        <x:f>IF(I16&gt;36,"是","否")</x:f>
        <x:v>否</x:v>
      </x:c>
      <x:c r="K16" s="50" t="str">
        <x:v>#### 场景 M1-02：顾南炉的求救</x:v>
      </x:c>
    </x:row>
    <x:row r="17" ht="40" customHeight="1">
      <x:c r="A17" s="50" t="str">
        <x:v>M1-02</x:v>
      </x:c>
      <x:c r="B17" s="50" t="str">
        <x:v>顾南炉的求救</x:v>
      </x:c>
      <x:c r="C17" s="50" t="str">
        <x:v>主对话</x:v>
      </x:c>
      <x:c r="D17" s="50" t="str">
        <x:v>对话 · 顾南炉、陆清、墨言</x:v>
      </x:c>
      <x:c r="E17" s="83" t="n">
        <x:v>3</x:v>
      </x:c>
      <x:c r="F17" s="50" t="str">
        <x:v>顾南炉</x:v>
      </x:c>
      <x:c r="G17" s="50" t="str">
        <x:v>叶家监阵使，叶观衡。</x:v>
      </x:c>
      <x:c r="H17" s="50" t="str">
        <x:v>默认</x:v>
      </x:c>
      <x:c r="I17" s="83" t="n">
        <x:f>LEN(SUBSTITUTE(G17," ",""))</x:f>
        <x:v>10</x:v>
      </x:c>
      <x:c r="J17" s="50" t="str">
        <x:f>IF(I17&gt;36,"是","否")</x:f>
        <x:v>否</x:v>
      </x:c>
      <x:c r="K17" s="50" t="str">
        <x:v>#### 场景 M1-02：顾南炉的求救</x:v>
      </x:c>
    </x:row>
    <x:row r="18" ht="40" customHeight="1">
      <x:c r="A18" s="50" t="str">
        <x:v>M1-02</x:v>
      </x:c>
      <x:c r="B18" s="50" t="str">
        <x:v>顾南炉的求救</x:v>
      </x:c>
      <x:c r="C18" s="50" t="str">
        <x:v>主对话</x:v>
      </x:c>
      <x:c r="D18" s="50" t="str">
        <x:v>对话 · 顾南炉、陆清、墨言</x:v>
      </x:c>
      <x:c r="E18" s="83" t="n">
        <x:v>4</x:v>
      </x:c>
      <x:c r="F18" s="50" t="str">
        <x:v>顾南炉</x:v>
      </x:c>
      <x:c r="G18" s="50" t="str">
        <x:v>可第二张图，又让我改回去。</x:v>
      </x:c>
      <x:c r="H18" s="50" t="str">
        <x:v>默认</x:v>
      </x:c>
      <x:c r="I18" s="83" t="n">
        <x:f>LEN(SUBSTITUTE(G18," ",""))</x:f>
        <x:v>13</x:v>
      </x:c>
      <x:c r="J18" s="50" t="str">
        <x:f>IF(I18&gt;36,"是","否")</x:f>
        <x:v>否</x:v>
      </x:c>
      <x:c r="K18" s="50" t="str">
        <x:v>#### 场景 M1-02：顾南炉的求救</x:v>
      </x:c>
    </x:row>
    <x:row r="19" ht="40" customHeight="1">
      <x:c r="A19" s="50" t="str">
        <x:v>M1-02</x:v>
      </x:c>
      <x:c r="B19" s="50" t="str">
        <x:v>顾南炉的求救</x:v>
      </x:c>
      <x:c r="C19" s="50" t="str">
        <x:v>主对话</x:v>
      </x:c>
      <x:c r="D19" s="50" t="str">
        <x:v>对话 · 顾南炉、陆清、墨言</x:v>
      </x:c>
      <x:c r="E19" s="83" t="n">
        <x:v>5</x:v>
      </x:c>
      <x:c r="F19" s="50" t="str">
        <x:v>墨言</x:v>
      </x:c>
      <x:c r="G19" s="50" t="str">
        <x:v>同一只手，下了两道反命令。</x:v>
      </x:c>
      <x:c r="H19" s="50" t="str">
        <x:v>默认</x:v>
      </x:c>
      <x:c r="I19" s="83" t="n">
        <x:f>LEN(SUBSTITUTE(G19," ",""))</x:f>
        <x:v>13</x:v>
      </x:c>
      <x:c r="J19" s="50" t="str">
        <x:f>IF(I19&gt;36,"是","否")</x:f>
        <x:v>否</x:v>
      </x:c>
      <x:c r="K19" s="50" t="str">
        <x:v>#### 场景 M1-02：顾南炉的求救</x:v>
      </x:c>
    </x:row>
    <x:row r="20" ht="40" customHeight="1">
      <x:c r="A20" s="50" t="str">
        <x:v>M1-03</x:v>
      </x:c>
      <x:c r="B20" s="50" t="str">
        <x:v>两份开山令</x:v>
      </x:c>
      <x:c r="C20" s="50" t="str">
        <x:v>主对话</x:v>
      </x:c>
      <x:c r="D20" s="50" t="str">
        <x:v>对话 · 白灵、墨言、石岩</x:v>
      </x:c>
      <x:c r="E20" s="83" t="n">
        <x:v>1</x:v>
      </x:c>
      <x:c r="F20" s="50" t="str">
        <x:v>白灵</x:v>
      </x:c>
      <x:c r="G20" s="50" t="str">
        <x:v>死者胸口没有石灵伤。</x:v>
      </x:c>
      <x:c r="H20" s="50" t="str">
        <x:v>默认</x:v>
      </x:c>
      <x:c r="I20" s="83" t="n">
        <x:f>LEN(SUBSTITUTE(G20," ",""))</x:f>
        <x:v>10</x:v>
      </x:c>
      <x:c r="J20" s="50" t="str">
        <x:f>IF(I20&gt;36,"是","否")</x:f>
        <x:v>否</x:v>
      </x:c>
      <x:c r="K20" s="50" t="str">
        <x:v>#### 场景 M1-03：两份开山令</x:v>
      </x:c>
    </x:row>
    <x:row r="21" ht="40" customHeight="1">
      <x:c r="A21" s="50" t="str">
        <x:v>M1-03</x:v>
      </x:c>
      <x:c r="B21" s="50" t="str">
        <x:v>两份开山令</x:v>
      </x:c>
      <x:c r="C21" s="50" t="str">
        <x:v>主对话</x:v>
      </x:c>
      <x:c r="D21" s="50" t="str">
        <x:v>对话 · 白灵、墨言、石岩</x:v>
      </x:c>
      <x:c r="E21" s="83" t="n">
        <x:v>2</x:v>
      </x:c>
      <x:c r="F21" s="50" t="str">
        <x:v>白灵</x:v>
      </x:c>
      <x:c r="G21" s="50" t="str">
        <x:v>经脉从内侧被抽空了。</x:v>
      </x:c>
      <x:c r="H21" s="50" t="str">
        <x:v>默认</x:v>
      </x:c>
      <x:c r="I21" s="83" t="n">
        <x:f>LEN(SUBSTITUTE(G21," ",""))</x:f>
        <x:v>10</x:v>
      </x:c>
      <x:c r="J21" s="50" t="str">
        <x:f>IF(I21&gt;36,"是","否")</x:f>
        <x:v>否</x:v>
      </x:c>
      <x:c r="K21" s="50" t="str">
        <x:v>#### 场景 M1-03：两份开山令</x:v>
      </x:c>
    </x:row>
    <x:row r="22" ht="40" customHeight="1">
      <x:c r="A22" s="50" t="str">
        <x:v>M1-03</x:v>
      </x:c>
      <x:c r="B22" s="50" t="str">
        <x:v>两份开山令</x:v>
      </x:c>
      <x:c r="C22" s="50" t="str">
        <x:v>主对话</x:v>
      </x:c>
      <x:c r="D22" s="50" t="str">
        <x:v>对话 · 白灵、墨言、石岩</x:v>
      </x:c>
      <x:c r="E22" s="83" t="n">
        <x:v>3</x:v>
      </x:c>
      <x:c r="F22" s="50" t="str">
        <x:v>墨言</x:v>
      </x:c>
      <x:c r="G22" s="50" t="str">
        <x:v>袖中两道命令，印都是真的。</x:v>
      </x:c>
      <x:c r="H22" s="50" t="str">
        <x:v>默认</x:v>
      </x:c>
      <x:c r="I22" s="83" t="n">
        <x:f>LEN(SUBSTITUTE(G22," ",""))</x:f>
        <x:v>13</x:v>
      </x:c>
      <x:c r="J22" s="50" t="str">
        <x:f>IF(I22&gt;36,"是","否")</x:f>
        <x:v>否</x:v>
      </x:c>
      <x:c r="K22" s="50" t="str">
        <x:v>#### 场景 M1-03：两份开山令</x:v>
      </x:c>
    </x:row>
    <x:row r="23" ht="40" customHeight="1">
      <x:c r="A23" s="50" t="str">
        <x:v>M1-03</x:v>
      </x:c>
      <x:c r="B23" s="50" t="str">
        <x:v>两份开山令</x:v>
      </x:c>
      <x:c r="C23" s="50" t="str">
        <x:v>主对话</x:v>
      </x:c>
      <x:c r="D23" s="50" t="str">
        <x:v>对话 · 白灵、墨言、石岩</x:v>
      </x:c>
      <x:c r="E23" s="83" t="n">
        <x:v>4</x:v>
      </x:c>
      <x:c r="F23" s="50" t="str">
        <x:v>墨言</x:v>
      </x:c>
      <x:c r="G23" s="50" t="str">
        <x:v>一道重封，一道抽阵。</x:v>
      </x:c>
      <x:c r="H23" s="50" t="str">
        <x:v>默认</x:v>
      </x:c>
      <x:c r="I23" s="83" t="n">
        <x:f>LEN(SUBSTITUTE(G23," ",""))</x:f>
        <x:v>10</x:v>
      </x:c>
      <x:c r="J23" s="50" t="str">
        <x:f>IF(I23&gt;36,"是","否")</x:f>
        <x:v>否</x:v>
      </x:c>
      <x:c r="K23" s="50" t="str">
        <x:v>#### 场景 M1-03：两份开山令</x:v>
      </x:c>
    </x:row>
    <x:row r="24" ht="40" customHeight="1">
      <x:c r="A24" s="50" t="str">
        <x:v>M1-03</x:v>
      </x:c>
      <x:c r="B24" s="50" t="str">
        <x:v>两份开山令</x:v>
      </x:c>
      <x:c r="C24" s="50" t="str">
        <x:v>主对话</x:v>
      </x:c>
      <x:c r="D24" s="50" t="str">
        <x:v>对话 · 白灵、墨言、石岩</x:v>
      </x:c>
      <x:c r="E24" s="83" t="n">
        <x:v>5</x:v>
      </x:c>
      <x:c r="F24" s="50" t="str">
        <x:v>石岩</x:v>
      </x:c>
      <x:c r="G24" s="50" t="str">
        <x:v>叶家自己人在互杀？</x:v>
      </x:c>
      <x:c r="H24" s="50" t="str">
        <x:v>默认</x:v>
      </x:c>
      <x:c r="I24" s="83" t="n">
        <x:f>LEN(SUBSTITUTE(G24," ",""))</x:f>
        <x:v>9</x:v>
      </x:c>
      <x:c r="J24" s="50" t="str">
        <x:f>IF(I24&gt;36,"是","否")</x:f>
        <x:v>否</x:v>
      </x:c>
      <x:c r="K24" s="50" t="str">
        <x:v>#### 场景 M1-03：两份开山令</x:v>
      </x:c>
    </x:row>
    <x:row r="25" ht="40" customHeight="1">
      <x:c r="A25" s="50" t="str">
        <x:v>M1-03</x:v>
      </x:c>
      <x:c r="B25" s="50" t="str">
        <x:v>两份开山令</x:v>
      </x:c>
      <x:c r="C25" s="50" t="str">
        <x:v>主对话</x:v>
      </x:c>
      <x:c r="D25" s="50" t="str">
        <x:v>对话 · 白灵</x:v>
      </x:c>
      <x:c r="E25" s="83" t="n">
        <x:v>1</x:v>
      </x:c>
      <x:c r="F25" s="50" t="str">
        <x:v>白灵</x:v>
      </x:c>
      <x:c r="G25" s="50" t="str">
        <x:v>这些人也许还能引魂问话。</x:v>
      </x:c>
      <x:c r="H25" s="50" t="str">
        <x:v>默认</x:v>
      </x:c>
      <x:c r="I25" s="83" t="n">
        <x:f>LEN(SUBSTITUTE(G25," ",""))</x:f>
        <x:v>12</x:v>
      </x:c>
      <x:c r="J25" s="50" t="str">
        <x:f>IF(I25&gt;36,"是","否")</x:f>
        <x:v>否</x:v>
      </x:c>
      <x:c r="K25" s="50" t="str">
        <x:v>#### 场景 M1-03：两份开山令</x:v>
      </x:c>
    </x:row>
    <x:row r="26" ht="40" customHeight="1">
      <x:c r="A26" s="50" t="str">
        <x:v>M1-03</x:v>
      </x:c>
      <x:c r="B26" s="50" t="str">
        <x:v>两份开山令</x:v>
      </x:c>
      <x:c r="C26" s="50" t="str">
        <x:v>主对话</x:v>
      </x:c>
      <x:c r="D26" s="50" t="str">
        <x:v>对话 · 白灵</x:v>
      </x:c>
      <x:c r="E26" s="83" t="n">
        <x:v>2</x:v>
      </x:c>
      <x:c r="F26" s="50" t="str">
        <x:v>白灵</x:v>
      </x:c>
      <x:c r="G26" s="50" t="str">
        <x:v>但要把遗体带回去。</x:v>
      </x:c>
      <x:c r="H26" s="50" t="str">
        <x:v>默认</x:v>
      </x:c>
      <x:c r="I26" s="83" t="n">
        <x:f>LEN(SUBSTITUTE(G26," ",""))</x:f>
        <x:v>9</x:v>
      </x:c>
      <x:c r="J26" s="50" t="str">
        <x:f>IF(I26&gt;36,"是","否")</x:f>
        <x:v>否</x:v>
      </x:c>
      <x:c r="K26" s="50" t="str">
        <x:v>#### 场景 M1-03：两份开山令</x:v>
      </x:c>
    </x:row>
    <x:row r="27" ht="40" customHeight="1">
      <x:c r="A27" s="50" t="str">
        <x:v>M1-04</x:v>
      </x:c>
      <x:c r="B27" s="50" t="str">
        <x:v>万修之门残碑</x:v>
      </x:c>
      <x:c r="C27" s="50" t="str">
        <x:v>主对话</x:v>
      </x:c>
      <x:c r="D27" s="50" t="str">
        <x:v>对话 · 岑守一、陆清、墨言</x:v>
      </x:c>
      <x:c r="E27" s="83" t="n">
        <x:v>1</x:v>
      </x:c>
      <x:c r="F27" s="50" t="str">
        <x:v>岑守一</x:v>
      </x:c>
      <x:c r="G27" s="50" t="str">
        <x:v>碑上原有万修二字。</x:v>
      </x:c>
      <x:c r="H27" s="50" t="str">
        <x:v>默认</x:v>
      </x:c>
      <x:c r="I27" s="83" t="n">
        <x:f>LEN(SUBSTITUTE(G27," ",""))</x:f>
        <x:v>9</x:v>
      </x:c>
      <x:c r="J27" s="50" t="str">
        <x:f>IF(I27&gt;36,"是","否")</x:f>
        <x:v>否</x:v>
      </x:c>
      <x:c r="K27" s="50" t="str">
        <x:v>#### 场景 M1-04：万修之门残碑</x:v>
      </x:c>
    </x:row>
    <x:row r="28" ht="40" customHeight="1">
      <x:c r="A28" s="50" t="str">
        <x:v>M1-04</x:v>
      </x:c>
      <x:c r="B28" s="50" t="str">
        <x:v>万修之门残碑</x:v>
      </x:c>
      <x:c r="C28" s="50" t="str">
        <x:v>主对话</x:v>
      </x:c>
      <x:c r="D28" s="50" t="str">
        <x:v>对话 · 岑守一、陆清、墨言</x:v>
      </x:c>
      <x:c r="E28" s="83" t="n">
        <x:v>2</x:v>
      </x:c>
      <x:c r="F28" s="50" t="str">
        <x:v>陆清</x:v>
      </x:c>
      <x:c r="G28" s="50" t="str">
        <x:v>现在多了一道新刻痕。</x:v>
      </x:c>
      <x:c r="H28" s="50" t="str">
        <x:v>默认</x:v>
      </x:c>
      <x:c r="I28" s="83" t="n">
        <x:f>LEN(SUBSTITUTE(G28," ",""))</x:f>
        <x:v>10</x:v>
      </x:c>
      <x:c r="J28" s="50" t="str">
        <x:f>IF(I28&gt;36,"是","否")</x:f>
        <x:v>否</x:v>
      </x:c>
      <x:c r="K28" s="50" t="str">
        <x:v>#### 场景 M1-04：万修之门残碑</x:v>
      </x:c>
    </x:row>
    <x:row r="29" ht="40" customHeight="1">
      <x:c r="A29" s="50" t="str">
        <x:v>M1-04</x:v>
      </x:c>
      <x:c r="B29" s="50" t="str">
        <x:v>万修之门残碑</x:v>
      </x:c>
      <x:c r="C29" s="50" t="str">
        <x:v>主对话</x:v>
      </x:c>
      <x:c r="D29" s="50" t="str">
        <x:v>对话 · 岑守一、陆清、墨言</x:v>
      </x:c>
      <x:c r="E29" s="83" t="n">
        <x:v>3</x:v>
      </x:c>
      <x:c r="F29" s="50" t="str">
        <x:v>墨言</x:v>
      </x:c>
      <x:c r="G29" s="50" t="str">
        <x:v>像门，又像一只竖眼。</x:v>
      </x:c>
      <x:c r="H29" s="50" t="str">
        <x:v>默认</x:v>
      </x:c>
      <x:c r="I29" s="83" t="n">
        <x:f>LEN(SUBSTITUTE(G29," ",""))</x:f>
        <x:v>10</x:v>
      </x:c>
      <x:c r="J29" s="50" t="str">
        <x:f>IF(I29&gt;36,"是","否")</x:f>
        <x:v>否</x:v>
      </x:c>
      <x:c r="K29" s="50" t="str">
        <x:v>#### 场景 M1-04：万修之门残碑</x:v>
      </x:c>
    </x:row>
    <x:row r="30" ht="40" customHeight="1">
      <x:c r="A30" s="50" t="str">
        <x:v>M1-04</x:v>
      </x:c>
      <x:c r="B30" s="50" t="str">
        <x:v>万修之门残碑</x:v>
      </x:c>
      <x:c r="C30" s="50" t="str">
        <x:v>主对话</x:v>
      </x:c>
      <x:c r="D30" s="50" t="str">
        <x:v>对话 · 岑守一、陆清、墨言</x:v>
      </x:c>
      <x:c r="E30" s="83" t="n">
        <x:v>4</x:v>
      </x:c>
      <x:c r="F30" s="50" t="str">
        <x:v>岑守一</x:v>
      </x:c>
      <x:c r="G30" s="50" t="str">
        <x:v>别碰。十二年前也出现过。</x:v>
      </x:c>
      <x:c r="H30" s="50" t="str">
        <x:v>默认</x:v>
      </x:c>
      <x:c r="I30" s="83" t="n">
        <x:f>LEN(SUBSTITUTE(G30," ",""))</x:f>
        <x:v>12</x:v>
      </x:c>
      <x:c r="J30" s="50" t="str">
        <x:f>IF(I30&gt;36,"是","否")</x:f>
        <x:v>否</x:v>
      </x:c>
      <x:c r="K30" s="50" t="str">
        <x:v>#### 场景 M1-04：万修之门残碑</x:v>
      </x:c>
    </x:row>
    <x:row r="31" ht="40" customHeight="1">
      <x:c r="A31" s="50" t="str">
        <x:v>M1-04</x:v>
      </x:c>
      <x:c r="B31" s="50" t="str">
        <x:v>万修之门残碑</x:v>
      </x:c>
      <x:c r="C31" s="50" t="str">
        <x:v>主对话</x:v>
      </x:c>
      <x:c r="D31" s="50" t="str">
        <x:v>对话 · 岑守一、陆清、墨言</x:v>
      </x:c>
      <x:c r="E31" s="83" t="n">
        <x:v>5</x:v>
      </x:c>
      <x:c r="F31" s="50" t="str">
        <x:v>玩家</x:v>
      </x:c>
      <x:c r="G31" s="50" t="str">
        <x:v>营印在发热。</x:v>
      </x:c>
      <x:c r="H31" s="50" t="str">
        <x:v>默认</x:v>
      </x:c>
      <x:c r="I31" s="83" t="n">
        <x:f>LEN(SUBSTITUTE(G31," ",""))</x:f>
        <x:v>6</x:v>
      </x:c>
      <x:c r="J31" s="50" t="str">
        <x:f>IF(I31&gt;36,"是","否")</x:f>
        <x:v>否</x:v>
      </x:c>
      <x:c r="K31" s="50" t="str">
        <x:v>#### 场景 M1-04：万修之门残碑</x:v>
      </x:c>
    </x:row>
    <x:row r="32" ht="40" customHeight="1">
      <x:c r="A32" s="50" t="str">
        <x:v>M1-04</x:v>
      </x:c>
      <x:c r="B32" s="50" t="str">
        <x:v>万修之门残碑</x:v>
      </x:c>
      <x:c r="C32" s="50" t="str">
        <x:v>主对话</x:v>
      </x:c>
      <x:c r="D32" s="50" t="str">
        <x:v>对话 · 岑守一、陆清、墨言</x:v>
      </x:c>
      <x:c r="E32" s="83" t="n">
        <x:v>6</x:v>
      </x:c>
      <x:c r="F32" s="50" t="str">
        <x:v>残碑</x:v>
      </x:c>
      <x:c r="G32" s="50" t="str">
        <x:v>阵录十三，持外印者归位。</x:v>
      </x:c>
      <x:c r="H32" s="50" t="str">
        <x:v>默认</x:v>
      </x:c>
      <x:c r="I32" s="83" t="n">
        <x:f>LEN(SUBSTITUTE(G32," ",""))</x:f>
        <x:v>12</x:v>
      </x:c>
      <x:c r="J32" s="50" t="str">
        <x:f>IF(I32&gt;36,"是","否")</x:f>
        <x:v>否</x:v>
      </x:c>
      <x:c r="K32" s="50" t="str">
        <x:v>#### 场景 M1-04：万修之门残碑</x:v>
      </x:c>
    </x:row>
    <x:row r="33" ht="40" customHeight="1">
      <x:c r="A33" s="50" t="str">
        <x:v>M1-04</x:v>
      </x:c>
      <x:c r="B33" s="50" t="str">
        <x:v>万修之门残碑</x:v>
      </x:c>
      <x:c r="C33" s="50" t="str">
        <x:v>主对话</x:v>
      </x:c>
      <x:c r="D33" s="50" t="str">
        <x:v>对话 · 岑守一、陆清、墨言</x:v>
      </x:c>
      <x:c r="E33" s="83" t="n">
        <x:v>7</x:v>
      </x:c>
      <x:c r="F33" s="50" t="str">
        <x:v>岑守一</x:v>
      </x:c>
      <x:c r="G33" s="50" t="str">
        <x:v>……把传讯断了。现在。</x:v>
      </x:c>
      <x:c r="H33" s="50" t="str">
        <x:v>默认</x:v>
      </x:c>
      <x:c r="I33" s="83" t="n">
        <x:f>LEN(SUBSTITUTE(G33," ",""))</x:f>
        <x:v>11</x:v>
      </x:c>
      <x:c r="J33" s="50" t="str">
        <x:f>IF(I33&gt;36,"是","否")</x:f>
        <x:v>否</x:v>
      </x:c>
      <x:c r="K33" s="50" t="str">
        <x:v>#### 场景 M1-04：万修之门残碑</x:v>
      </x:c>
    </x:row>
    <x:row r="34" ht="40" customHeight="1">
      <x:c r="A34" s="50" t="str">
        <x:v>M1-05</x:v>
      </x:c>
      <x:c r="B34" s="50" t="str">
        <x:v>守门石灵战前</x:v>
      </x:c>
      <x:c r="C34" s="50" t="str">
        <x:v>主对话</x:v>
      </x:c>
      <x:c r="D34" s="50" t="str">
        <x:v>对话 · 叶观衡、墨言、石岩</x:v>
      </x:c>
      <x:c r="E34" s="83" t="n">
        <x:v>1</x:v>
      </x:c>
      <x:c r="F34" s="50" t="str">
        <x:v>叶观衡</x:v>
      </x:c>
      <x:c r="G34" s="50" t="str">
        <x:v>外营的人，退下。</x:v>
      </x:c>
      <x:c r="H34" s="50" t="str">
        <x:v>默认</x:v>
      </x:c>
      <x:c r="I34" s="83" t="n">
        <x:f>LEN(SUBSTITUTE(G34," ",""))</x:f>
        <x:v>8</x:v>
      </x:c>
      <x:c r="J34" s="50" t="str">
        <x:f>IF(I34&gt;36,"是","否")</x:f>
        <x:v>否</x:v>
      </x:c>
      <x:c r="K34" s="50" t="str">
        <x:v>#### 场景 M1-05：守门石灵战前</x:v>
      </x:c>
    </x:row>
    <x:row r="35" ht="40" customHeight="1">
      <x:c r="A35" s="50" t="str">
        <x:v>M1-05</x:v>
      </x:c>
      <x:c r="B35" s="50" t="str">
        <x:v>守门石灵战前</x:v>
      </x:c>
      <x:c r="C35" s="50" t="str">
        <x:v>主对话</x:v>
      </x:c>
      <x:c r="D35" s="50" t="str">
        <x:v>对话 · 叶观衡、墨言、石岩</x:v>
      </x:c>
      <x:c r="E35" s="83" t="n">
        <x:v>2</x:v>
      </x:c>
      <x:c r="F35" s="50" t="str">
        <x:v>叶观衡</x:v>
      </x:c>
      <x:c r="G35" s="50" t="str">
        <x:v>石灵奉叶家古令守门。</x:v>
      </x:c>
      <x:c r="H35" s="50" t="str">
        <x:v>默认</x:v>
      </x:c>
      <x:c r="I35" s="83" t="n">
        <x:f>LEN(SUBSTITUTE(G35," ",""))</x:f>
        <x:v>10</x:v>
      </x:c>
      <x:c r="J35" s="50" t="str">
        <x:f>IF(I35&gt;36,"是","否")</x:f>
        <x:v>否</x:v>
      </x:c>
      <x:c r="K35" s="50" t="str">
        <x:v>#### 场景 M1-05：守门石灵战前</x:v>
      </x:c>
    </x:row>
    <x:row r="36" ht="40" customHeight="1">
      <x:c r="A36" s="50" t="str">
        <x:v>M1-05</x:v>
      </x:c>
      <x:c r="B36" s="50" t="str">
        <x:v>守门石灵战前</x:v>
      </x:c>
      <x:c r="C36" s="50" t="str">
        <x:v>主对话</x:v>
      </x:c>
      <x:c r="D36" s="50" t="str">
        <x:v>对话 · 叶观衡、墨言、石岩</x:v>
      </x:c>
      <x:c r="E36" s="83" t="n">
        <x:v>3</x:v>
      </x:c>
      <x:c r="F36" s="50" t="str">
        <x:v>叶观衡</x:v>
      </x:c>
      <x:c r="G36" s="50" t="str">
        <x:v>你们无权触碰它的核心。</x:v>
      </x:c>
      <x:c r="H36" s="50" t="str">
        <x:v>默认</x:v>
      </x:c>
      <x:c r="I36" s="83" t="n">
        <x:f>LEN(SUBSTITUTE(G36," ",""))</x:f>
        <x:v>11</x:v>
      </x:c>
      <x:c r="J36" s="50" t="str">
        <x:f>IF(I36&gt;36,"是","否")</x:f>
        <x:v>否</x:v>
      </x:c>
      <x:c r="K36" s="50" t="str">
        <x:v>#### 场景 M1-05：守门石灵战前</x:v>
      </x:c>
    </x:row>
    <x:row r="37" ht="40" customHeight="1">
      <x:c r="A37" s="50" t="str">
        <x:v>M1-05</x:v>
      </x:c>
      <x:c r="B37" s="50" t="str">
        <x:v>守门石灵战前</x:v>
      </x:c>
      <x:c r="C37" s="50" t="str">
        <x:v>主对话</x:v>
      </x:c>
      <x:c r="D37" s="50" t="str">
        <x:v>对话 · 叶观衡、墨言、石岩</x:v>
      </x:c>
      <x:c r="E37" s="83" t="n">
        <x:v>4</x:v>
      </x:c>
      <x:c r="F37" s="50" t="str">
        <x:v>墨言</x:v>
      </x:c>
      <x:c r="G37" s="50" t="str">
        <x:v>活人不露面，只让石头杀人。</x:v>
      </x:c>
      <x:c r="H37" s="50" t="str">
        <x:v>默认</x:v>
      </x:c>
      <x:c r="I37" s="83" t="n">
        <x:f>LEN(SUBSTITUTE(G37," ",""))</x:f>
        <x:v>13</x:v>
      </x:c>
      <x:c r="J37" s="50" t="str">
        <x:f>IF(I37&gt;36,"是","否")</x:f>
        <x:v>否</x:v>
      </x:c>
      <x:c r="K37" s="50" t="str">
        <x:v>#### 场景 M1-05：守门石灵战前</x:v>
      </x:c>
    </x:row>
    <x:row r="38" ht="40" customHeight="1">
      <x:c r="A38" s="50" t="str">
        <x:v>M1-05</x:v>
      </x:c>
      <x:c r="B38" s="50" t="str">
        <x:v>守门石灵战前</x:v>
      </x:c>
      <x:c r="C38" s="50" t="str">
        <x:v>主对话</x:v>
      </x:c>
      <x:c r="D38" s="50" t="str">
        <x:v>对话 · 叶观衡、墨言、石岩</x:v>
      </x:c>
      <x:c r="E38" s="83" t="n">
        <x:v>5</x:v>
      </x:c>
      <x:c r="F38" s="50" t="str">
        <x:v>石岩</x:v>
      </x:c>
      <x:c r="G38" s="50" t="str">
        <x:v>若它还守门，为何朝山外打？</x:v>
      </x:c>
      <x:c r="H38" s="50" t="str">
        <x:v>默认</x:v>
      </x:c>
      <x:c r="I38" s="83" t="n">
        <x:f>LEN(SUBSTITUTE(G38," ",""))</x:f>
        <x:v>13</x:v>
      </x:c>
      <x:c r="J38" s="50" t="str">
        <x:f>IF(I38&gt;36,"是","否")</x:f>
        <x:v>否</x:v>
      </x:c>
      <x:c r="K38" s="50" t="str">
        <x:v>#### 场景 M1-05：守门石灵战前</x:v>
      </x:c>
    </x:row>
    <x:row r="39" ht="40" customHeight="1">
      <x:c r="A39" s="50" t="str">
        <x:v>M1-05</x:v>
      </x:c>
      <x:c r="B39" s="50" t="str">
        <x:v>守门石灵战前</x:v>
      </x:c>
      <x:c r="C39" s="50" t="str">
        <x:v>主对话</x:v>
      </x:c>
      <x:c r="D39" s="50" t="str">
        <x:v>对话 · 陆清、白灵、玩家</x:v>
      </x:c>
      <x:c r="E39" s="83" t="n">
        <x:v>1</x:v>
      </x:c>
      <x:c r="F39" s="50" t="str">
        <x:v>陆清</x:v>
      </x:c>
      <x:c r="G39" s="50" t="str">
        <x:v>核心里的命令，不是守门。</x:v>
      </x:c>
      <x:c r="H39" s="50" t="str">
        <x:v>默认</x:v>
      </x:c>
      <x:c r="I39" s="83" t="n">
        <x:f>LEN(SUBSTITUTE(G39," ",""))</x:f>
        <x:v>12</x:v>
      </x:c>
      <x:c r="J39" s="50" t="str">
        <x:f>IF(I39&gt;36,"是","否")</x:f>
        <x:v>否</x:v>
      </x:c>
      <x:c r="K39" s="50" t="str">
        <x:v>#### 场景 M1-05：守门石灵战前</x:v>
      </x:c>
    </x:row>
    <x:row r="40" ht="40" customHeight="1">
      <x:c r="A40" s="50" t="str">
        <x:v>M1-05</x:v>
      </x:c>
      <x:c r="B40" s="50" t="str">
        <x:v>守门石灵战前</x:v>
      </x:c>
      <x:c r="C40" s="50" t="str">
        <x:v>主对话</x:v>
      </x:c>
      <x:c r="D40" s="50" t="str">
        <x:v>对话 · 陆清、白灵、玩家</x:v>
      </x:c>
      <x:c r="E40" s="83" t="n">
        <x:v>2</x:v>
      </x:c>
      <x:c r="F40" s="50" t="str">
        <x:v>陆清</x:v>
      </x:c>
      <x:c r="G40" s="50" t="str">
        <x:v>是“清除外来见证者”。</x:v>
      </x:c>
      <x:c r="H40" s="50" t="str">
        <x:v>默认</x:v>
      </x:c>
      <x:c r="I40" s="83" t="n">
        <x:f>LEN(SUBSTITUTE(G40," ",""))</x:f>
        <x:v>11</x:v>
      </x:c>
      <x:c r="J40" s="50" t="str">
        <x:f>IF(I40&gt;36,"是","否")</x:f>
        <x:v>否</x:v>
      </x:c>
      <x:c r="K40" s="50" t="str">
        <x:v>#### 场景 M1-05：守门石灵战前</x:v>
      </x:c>
    </x:row>
    <x:row r="41" ht="40" customHeight="1">
      <x:c r="A41" s="50" t="str">
        <x:v>M1-05</x:v>
      </x:c>
      <x:c r="B41" s="50" t="str">
        <x:v>守门石灵战前</x:v>
      </x:c>
      <x:c r="C41" s="50" t="str">
        <x:v>主对话</x:v>
      </x:c>
      <x:c r="D41" s="50" t="str">
        <x:v>对话 · 陆清、白灵、玩家</x:v>
      </x:c>
      <x:c r="E41" s="83" t="n">
        <x:v>3</x:v>
      </x:c>
      <x:c r="F41" s="50" t="str">
        <x:v>白灵</x:v>
      </x:c>
      <x:c r="G41" s="50" t="str">
        <x:v>先遣队也被算作见证者。</x:v>
      </x:c>
      <x:c r="H41" s="50" t="str">
        <x:v>默认</x:v>
      </x:c>
      <x:c r="I41" s="83" t="n">
        <x:f>LEN(SUBSTITUTE(G41," ",""))</x:f>
        <x:v>11</x:v>
      </x:c>
      <x:c r="J41" s="50" t="str">
        <x:f>IF(I41&gt;36,"是","否")</x:f>
        <x:v>否</x:v>
      </x:c>
      <x:c r="K41" s="50" t="str">
        <x:v>#### 场景 M1-05：守门石灵战前</x:v>
      </x:c>
    </x:row>
    <x:row r="42" ht="40" customHeight="1">
      <x:c r="A42" s="50" t="str">
        <x:v>M1-05</x:v>
      </x:c>
      <x:c r="B42" s="50" t="str">
        <x:v>守门石灵战前</x:v>
      </x:c>
      <x:c r="C42" s="50" t="str">
        <x:v>主对话</x:v>
      </x:c>
      <x:c r="D42" s="50" t="str">
        <x:v>对话 · 陆清、白灵、玩家</x:v>
      </x:c>
      <x:c r="E42" s="83" t="n">
        <x:v>4</x:v>
      </x:c>
      <x:c r="F42" s="50" t="str">
        <x:v>陆清</x:v>
      </x:c>
      <x:c r="G42" s="50" t="str">
        <x:v>可它把营印标作“旧营继任”。</x:v>
      </x:c>
      <x:c r="H42" s="50" t="str">
        <x:v>默认</x:v>
      </x:c>
      <x:c r="I42" s="83" t="n">
        <x:f>LEN(SUBSTITUTE(G42," ",""))</x:f>
        <x:v>14</x:v>
      </x:c>
      <x:c r="J42" s="50" t="str">
        <x:f>IF(I42&gt;36,"是","否")</x:f>
        <x:v>否</x:v>
      </x:c>
      <x:c r="K42" s="50" t="str">
        <x:v>#### 场景 M1-05：守门石灵战前</x:v>
      </x:c>
    </x:row>
    <x:row r="43" ht="40" customHeight="1">
      <x:c r="A43" s="50" t="str">
        <x:v>M1-05</x:v>
      </x:c>
      <x:c r="B43" s="50" t="str">
        <x:v>守门石灵战前</x:v>
      </x:c>
      <x:c r="C43" s="50" t="str">
        <x:v>主对话</x:v>
      </x:c>
      <x:c r="D43" s="50" t="str">
        <x:v>对话 · 陆清、白灵、玩家</x:v>
      </x:c>
      <x:c r="E43" s="83" t="n">
        <x:v>5</x:v>
      </x:c>
      <x:c r="F43" s="50" t="str">
        <x:v>玩家</x:v>
      </x:c>
      <x:c r="G43" s="50" t="str">
        <x:v>这道继任令，是十二年前写的。</x:v>
      </x:c>
      <x:c r="H43" s="50" t="str">
        <x:v>默认</x:v>
      </x:c>
      <x:c r="I43" s="83" t="n">
        <x:f>LEN(SUBSTITUTE(G43," ",""))</x:f>
        <x:v>14</x:v>
      </x:c>
      <x:c r="J43" s="50" t="str">
        <x:f>IF(I43&gt;36,"是","否")</x:f>
        <x:v>否</x:v>
      </x:c>
      <x:c r="K43" s="50" t="str">
        <x:v>#### 场景 M1-05：守门石灵战前</x:v>
      </x:c>
    </x:row>
    <x:row r="44" ht="40" customHeight="1">
      <x:c r="A44" s="50" t="str">
        <x:v>M1-05</x:v>
      </x:c>
      <x:c r="B44" s="50" t="str">
        <x:v>守门石灵战前</x:v>
      </x:c>
      <x:c r="C44" s="50" t="str">
        <x:v>主对话</x:v>
      </x:c>
      <x:c r="D44" s="50" t="str">
        <x:v>对话 · 陆清、白灵、玩家</x:v>
      </x:c>
      <x:c r="E44" s="83" t="n">
        <x:v>6</x:v>
      </x:c>
      <x:c r="F44" s="50" t="str">
        <x:v>叶观衡</x:v>
      </x:c>
      <x:c r="G44" s="50" t="str">
        <x:v>你们看见的，只是一层命令。</x:v>
      </x:c>
      <x:c r="H44" s="50" t="str">
        <x:v>默认</x:v>
      </x:c>
      <x:c r="I44" s="83" t="n">
        <x:f>LEN(SUBSTITUTE(G44," ",""))</x:f>
        <x:v>13</x:v>
      </x:c>
      <x:c r="J44" s="50" t="str">
        <x:f>IF(I44&gt;36,"是","否")</x:f>
        <x:v>否</x:v>
      </x:c>
      <x:c r="K44" s="50" t="str">
        <x:v>#### 场景 M1-05：守门石灵战前</x:v>
      </x:c>
    </x:row>
    <x:row r="45" ht="40" customHeight="1">
      <x:c r="A45" s="50" t="str">
        <x:v>M1-05</x:v>
      </x:c>
      <x:c r="B45" s="50" t="str">
        <x:v>守门石灵战前</x:v>
      </x:c>
      <x:c r="C45" s="50" t="str">
        <x:v>主对话</x:v>
      </x:c>
      <x:c r="D45" s="50" t="str">
        <x:v>对话 · 陆清、白灵、玩家</x:v>
      </x:c>
      <x:c r="E45" s="83" t="n">
        <x:v>7</x:v>
      </x:c>
      <x:c r="F45" s="50" t="str">
        <x:v>叶观衡</x:v>
      </x:c>
      <x:c r="G45" s="50" t="str">
        <x:v>来白玉广场。我给你们解释。</x:v>
      </x:c>
      <x:c r="H45" s="50" t="str">
        <x:v>默认</x:v>
      </x:c>
      <x:c r="I45" s="83" t="n">
        <x:f>LEN(SUBSTITUTE(G45," ",""))</x:f>
        <x:v>13</x:v>
      </x:c>
      <x:c r="J45" s="50" t="str">
        <x:f>IF(I45&gt;36,"是","否")</x:f>
        <x:v>否</x:v>
      </x:c>
      <x:c r="K45" s="50" t="str">
        <x:v>#### 场景 M1-05：守门石灵战前</x:v>
      </x:c>
    </x:row>
    <x:row r="46" ht="40" customHeight="1">
      <x:c r="A46" s="51" t="str">
        <x:v>M1-05</x:v>
      </x:c>
      <x:c r="B46" s="51" t="str">
        <x:v>守门石灵战前</x:v>
      </x:c>
      <x:c r="C46" s="51" t="str">
        <x:v>主对话</x:v>
      </x:c>
      <x:c r="D46" s="51" t="str">
        <x:v>对话 · 陆清、白灵、玩家</x:v>
      </x:c>
      <x:c r="E46" s="84" t="n">
        <x:v>8</x:v>
      </x:c>
      <x:c r="F46" s="51" t="str">
        <x:v>墨言</x:v>
      </x:c>
      <x:c r="G46" s="51" t="str">
        <x:v>他说的是“来”，不是“请”。</x:v>
      </x:c>
      <x:c r="H46" s="51" t="str">
        <x:v>默认</x:v>
      </x:c>
      <x:c r="I46" s="84" t="n">
        <x:f>LEN(SUBSTITUTE(G46," ",""))</x:f>
        <x:v>14</x:v>
      </x:c>
      <x:c r="J46" s="51" t="str">
        <x:f>IF(I46&gt;36,"是","否")</x:f>
        <x:v>否</x:v>
      </x:c>
      <x:c r="K46" s="51" t="str">
        <x:v>#### 场景 M1-05：守门石灵战前</x:v>
      </x:c>
    </x:row>
  </x:sheetData>
  <x:mergeCells>
    <x:mergeCell ref="A1:K1"/>
    <x:mergeCell ref="A2:K2"/>
  </x:mergeCells>
  <x:conditionalFormatting sqref="J5:J46">
    <x:cfRule type="containsText" dxfId="0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09e25427c1d543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.329999923706055" hidden="0" customWidth="1"/>
    <x:col min="3" max="3" width="6.440000057220459" hidden="0" customWidth="1"/>
    <x:col min="4" max="4" width="7.21999979019165" hidden="0" customWidth="1"/>
    <x:col min="5" max="5" width="24.440000534057617" hidden="0" customWidth="1"/>
    <x:col min="6" max="6" width="7.559999942779541" hidden="0" customWidth="1"/>
    <x:col min="7" max="7" width="8.329999923706055" hidden="0" customWidth="1"/>
    <x:col min="8" max="8" width="13.329999923706055" hidden="0" customWidth="1"/>
    <x:col min="9" max="9" width="35.560001373291016" hidden="0" customWidth="1"/>
    <x:col min="10" max="10" width="28.889999389648438" hidden="0" customWidth="1"/>
    <x:col min="11" max="11" width="8.670000076293945" hidden="0" customWidth="1"/>
    <x:col min="12" max="12" width="16.670000076293945" hidden="0" customWidth="1"/>
    <x:col min="13" max="13" width="23.329999923706055" hidden="0" customWidth="1"/>
    <x:col min="14" max="14" width="6.889999866485596" hidden="0" customWidth="1"/>
    <x:col min="15" max="15" width="6.889999866485596" hidden="0" customWidth="1"/>
    <x:col min="16" max="16" width="21.110000610351562" hidden="0" customWidth="1"/>
  </x:cols>
  <x:sheetData>
    <x:row r="1" ht="34" customHeight="1">
      <x:c r="A1" s="3" t="str">
        <x:v>C01 选项与结果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3" customHeight="1">
      <x:c r="A2" s="6" t="str">
        <x:v>直接回答：玩家点了什么、会发生什么、有没有专属对白、之后是否汇流、是否有奖励或消耗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 ht="30" customHeight="1">
      <x:c r="A4" s="38" t="str">
        <x:v>场景</x:v>
      </x:c>
      <x:c r="B4" s="39" t="str">
        <x:v>场景名</x:v>
      </x:c>
      <x:c r="C4" s="39" t="str">
        <x:v>选项组</x:v>
      </x:c>
      <x:c r="D4" s="39" t="str">
        <x:v>组内序号</x:v>
      </x:c>
      <x:c r="E4" s="39" t="str">
        <x:v>选项文案</x:v>
      </x:c>
      <x:c r="F4" s="39" t="str">
        <x:v>类型</x:v>
      </x:c>
      <x:c r="G4" s="39" t="str">
        <x:v>二次确认</x:v>
      </x:c>
      <x:c r="H4" s="39" t="str">
        <x:v>检定条件</x:v>
      </x:c>
      <x:c r="I4" s="39" t="str">
        <x:v>点击后结果</x:v>
      </x:c>
      <x:c r="J4" s="39" t="str">
        <x:v>专属后续对白/说明</x:v>
      </x:c>
      <x:c r="K4" s="39" t="str">
        <x:v>专属对白句数</x:v>
      </x:c>
      <x:c r="L4" s="39" t="str">
        <x:v>后续走向</x:v>
      </x:c>
      <x:c r="M4" s="39" t="str">
        <x:v>状态变化</x:v>
      </x:c>
      <x:c r="N4" s="39" t="str">
        <x:v>奖励数</x:v>
      </x:c>
      <x:c r="O4" s="39" t="str">
        <x:v>消耗数</x:v>
      </x:c>
      <x:c r="P4" s="40" t="str">
        <x:v>来源标题</x:v>
      </x:c>
    </x:row>
    <x:row r="5" ht="76" customHeight="1">
      <x:c r="A5" s="49" t="str">
        <x:v>M1-01</x:v>
      </x:c>
      <x:c r="B5" s="49" t="str">
        <x:v>第一盏阵灯</x:v>
      </x:c>
      <x:c r="C5" s="82" t="n">
        <x:v>1</x:v>
      </x:c>
      <x:c r="D5" s="82" t="n">
        <x:v>1</x:v>
      </x:c>
      <x:c r="E5" s="49" t="str">
        <x:v>让陆清校正阵纹。</x:v>
      </x:c>
      <x:c r="F5" s="49" t="str">
        <x:v>方法</x:v>
      </x:c>
      <x:c r="G5" s="49" t="str">
        <x:v>否</x:v>
      </x:c>
      <x:c r="H5" s="49" t="str">
        <x:v>MAX ≥ 18</x:v>
      </x:c>
      <x:c r="I5" s="49" t="str">
        <x:v> 法力MAX≥18成功；消耗灵晶1；无战斗；seal_integrity+1。</x:v>
      </x:c>
      <x:c r="J5" s="49" t="str">
        <x:v>原文未配置该选项的专属后续对白；保存选择结果后汇流到公共节点。</x:v>
      </x:c>
      <x:c r="K5" s="82" t="n">
        <x:v>0</x:v>
      </x:c>
      <x:c r="L5" s="82" t="str">
        <x:v>执行专属结果后汇流</x:v>
      </x:c>
      <x:c r="M5" s="82" t="str">
        <x:v>法力MAX≥18成功
消耗灵晶1
无战斗
seal_integrity+1。</x:v>
      </x:c>
      <x:c r="N5" s="82" t="n">
        <x:v>0</x:v>
      </x:c>
      <x:c r="O5" s="82" t="n">
        <x:v>1</x:v>
      </x:c>
      <x:c r="P5" s="49" t="str">
        <x:v>#### 场景 M1-01：第一盏阵灯</x:v>
      </x:c>
    </x:row>
    <x:row r="6" ht="76" customHeight="1">
      <x:c r="A6" s="50" t="str">
        <x:v>M1-01</x:v>
      </x:c>
      <x:c r="B6" s="50" t="str">
        <x:v>第一盏阵灯</x:v>
      </x:c>
      <x:c r="C6" s="83" t="n">
        <x:v>1</x:v>
      </x:c>
      <x:c r="D6" s="83" t="n">
        <x:v>2</x:v>
      </x:c>
      <x:c r="E6" s="50" t="str">
        <x:v>用开山镐拆掉外壳。</x:v>
      </x:c>
      <x:c r="F6" s="50" t="str">
        <x:v>方法</x:v>
      </x:c>
      <x:c r="G6" s="50" t="str">
        <x:v>否</x:v>
      </x:c>
      <x:c r="H6" s="50" t="str">
        <x:v>无</x:v>
      </x:c>
      <x:c r="I6" s="50" t="str">
        <x:v> 本次出征已启用开山镐时可选；取得玄铁3；引来噬灵鼠群， 不在对象交互时再次扣除开山镐。</x:v>
      </x:c>
      <x:c r="J6" s="50" t="str">
        <x:v>原文未配置该选项的专属后续对白；保存选择结果后汇流到公共节点。</x:v>
      </x:c>
      <x:c r="K6" s="83" t="n">
        <x:v>0</x:v>
      </x:c>
      <x:c r="L6" s="83" t="str">
        <x:v>执行专属结果后汇流</x:v>
      </x:c>
      <x:c r="M6" s="83" t="str">
        <x:v>本次出征已启用开山镐时可选
取得玄铁3
引来噬灵鼠群， 不在对象交互时再次扣除开山镐。</x:v>
      </x:c>
      <x:c r="N6" s="83" t="n">
        <x:v>1</x:v>
      </x:c>
      <x:c r="O6" s="83" t="n">
        <x:v>1</x:v>
      </x:c>
      <x:c r="P6" s="50" t="str">
        <x:v>#### 场景 M1-01：第一盏阵灯</x:v>
      </x:c>
    </x:row>
    <x:row r="7" ht="76" customHeight="1">
      <x:c r="A7" s="50" t="str">
        <x:v>M1-01</x:v>
      </x:c>
      <x:c r="B7" s="50" t="str">
        <x:v>第一盏阵灯</x:v>
      </x:c>
      <x:c r="C7" s="83" t="n">
        <x:v>1</x:v>
      </x:c>
      <x:c r="D7" s="83" t="n">
        <x:v>3</x:v>
      </x:c>
      <x:c r="E7" s="50" t="str">
        <x:v>保留反阵，追查灵力去向。</x:v>
      </x:c>
      <x:c r="F7" s="50" t="str">
        <x:v>方法</x:v>
      </x:c>
      <x:c r="G7" s="50" t="str">
        <x:v>否</x:v>
      </x:c>
      <x:c r="H7" s="50" t="str">
        <x:v>无</x:v>
      </x:c>
      <x:c r="I7" s="50" t="str">
        <x:v> 不立刻修复；揭示一条隐藏路径；稍后必须返回修灯， 且下一场阵灵敌人伤害+10%。</x:v>
      </x:c>
      <x:c r="J7" s="50" t="str">
        <x:v>原文未配置该选项的专属后续对白；保存选择结果后汇流到公共节点。</x:v>
      </x:c>
      <x:c r="K7" s="83" t="n">
        <x:v>0</x:v>
      </x:c>
      <x:c r="L7" s="83" t="str">
        <x:v>执行专属结果后汇流</x:v>
      </x:c>
      <x:c r="M7" s="83" t="str">
        <x:v>不立刻修复
揭示一条隐藏路径
稍后必须返回修灯， 且下一场阵灵敌人伤害+10%。</x:v>
      </x:c>
      <x:c r="N7" s="83" t="n">
        <x:v>0</x:v>
      </x:c>
      <x:c r="O7" s="83" t="n">
        <x:v>0</x:v>
      </x:c>
      <x:c r="P7" s="50" t="str">
        <x:v>#### 场景 M1-01：第一盏阵灯</x:v>
      </x:c>
    </x:row>
    <x:row r="8" ht="76" customHeight="1">
      <x:c r="A8" s="50" t="str">
        <x:v>M1-02</x:v>
      </x:c>
      <x:c r="B8" s="50" t="str">
        <x:v>顾南炉的求救</x:v>
      </x:c>
      <x:c r="C8" s="83" t="n">
        <x:v>1</x:v>
      </x:c>
      <x:c r="D8" s="83" t="n">
        <x:v>1</x:v>
      </x:c>
      <x:c r="E8" s="50" t="str">
        <x:v>用开山镐按他说的位置破岩。</x:v>
      </x:c>
      <x:c r="F8" s="50" t="str">
        <x:v>方法</x:v>
      </x:c>
      <x:c r="G8" s="50" t="str">
        <x:v>否</x:v>
      </x:c>
      <x:c r="H8" s="50" t="str">
        <x:v>无</x:v>
      </x:c>
      <x:c r="I8" s="50" t="str">
        <x:v> 本次出征已启用开山镐时可选；无伤救出； saved_gu_nanlu=true，不在对象交互时再次扣除开山镐。</x:v>
      </x:c>
      <x:c r="J8" s="50" t="str">
        <x:v>原文未配置该选项的专属后续对白；保存选择结果后汇流到公共节点。</x:v>
      </x:c>
      <x:c r="K8" s="83" t="n">
        <x:v>0</x:v>
      </x:c>
      <x:c r="L8" s="83" t="str">
        <x:v>执行专属结果后汇流</x:v>
      </x:c>
      <x:c r="M8" s="83" t="str">
        <x:v>本次出征已启用开山镐时可选
无伤救出
saved_gu_nanlu=true，不在对象交互时再次扣除开山镐。</x:v>
      </x:c>
      <x:c r="N8" s="83" t="n">
        <x:v>0</x:v>
      </x:c>
      <x:c r="O8" s="83" t="n">
        <x:v>1</x:v>
      </x:c>
      <x:c r="P8" s="50" t="str">
        <x:v>#### 场景 M1-02：顾南炉的求救</x:v>
      </x:c>
    </x:row>
    <x:row r="9" ht="76" customHeight="1">
      <x:c r="A9" s="50" t="str">
        <x:v>M1-02</x:v>
      </x:c>
      <x:c r="B9" s="50" t="str">
        <x:v>顾南炉的求救</x:v>
      </x:c>
      <x:c r="C9" s="83" t="n">
        <x:v>1</x:v>
      </x:c>
      <x:c r="D9" s="83" t="n">
        <x:v>2</x:v>
      </x:c>
      <x:c r="E9" s="50" t="str">
        <x:v>让石岩强行抬开。</x:v>
      </x:c>
      <x:c r="F9" s="50" t="str">
        <x:v>方法</x:v>
      </x:c>
      <x:c r="G9" s="50" t="str">
        <x:v>否</x:v>
      </x:c>
      <x:c r="H9" s="50" t="str">
        <x:v>SUM ≥ 55</x:v>
      </x:c>
      <x:c r="I9" s="50" t="str">
        <x:v> 全队力道SUM≥55成功；石岩损失15%当前生命；无需开山镐。</x:v>
      </x:c>
      <x:c r="J9" s="50" t="str">
        <x:v>原文未配置该选项的专属后续对白；保存选择结果后汇流到公共节点。</x:v>
      </x:c>
      <x:c r="K9" s="83" t="n">
        <x:v>0</x:v>
      </x:c>
      <x:c r="L9" s="83" t="str">
        <x:v>执行专属结果后汇流</x:v>
      </x:c>
      <x:c r="M9" s="83" t="str">
        <x:v>全队力道SUM≥55成功
石岩损失15%当前生命
无需开山镐。</x:v>
      </x:c>
      <x:c r="N9" s="83" t="n">
        <x:v>0</x:v>
      </x:c>
      <x:c r="O9" s="83" t="n">
        <x:v>0</x:v>
      </x:c>
      <x:c r="P9" s="50" t="str">
        <x:v>#### 场景 M1-02：顾南炉的求救</x:v>
      </x:c>
    </x:row>
    <x:row r="10" ht="76" customHeight="1">
      <x:c r="A10" s="50" t="str">
        <x:v>M1-02</x:v>
      </x:c>
      <x:c r="B10" s="50" t="str">
        <x:v>顾南炉的求救</x:v>
      </x:c>
      <x:c r="C10" s="83" t="n">
        <x:v>1</x:v>
      </x:c>
      <x:c r="D10" s="83" t="n">
        <x:v>3</x:v>
      </x:c>
      <x:c r="E10" s="50" t="str">
        <x:v>先让他证明身份。</x:v>
      </x:c>
      <x:c r="F10" s="50" t="str">
        <x:v>方法</x:v>
      </x:c>
      <x:c r="G10" s="50" t="str">
        <x:v>否</x:v>
      </x:c>
      <x:c r="H10" s="50" t="str">
        <x:v>无</x:v>
      </x:c>
      <x:c r="I10" s="50" t="str">
        <x:v> 顾南炉说出营地旧炉编号；若读过废营粮册可识别，cen_trust+1； 否则延迟救援并触发落石敌群。</x:v>
      </x:c>
      <x:c r="J10" s="50" t="str">
        <x:v>原文未配置该选项的专属后续对白；保存选择结果后汇流到公共节点。</x:v>
      </x:c>
      <x:c r="K10" s="83" t="n">
        <x:v>0</x:v>
      </x:c>
      <x:c r="L10" s="83" t="str">
        <x:v>执行专属结果后汇流</x:v>
      </x:c>
      <x:c r="M10" s="83" t="str">
        <x:v>顾南炉说出营地旧炉编号
若读过废营粮册可识别，cen_trust+1
否则延迟救援并触发落石敌群。</x:v>
      </x:c>
      <x:c r="N10" s="83" t="n">
        <x:v>0</x:v>
      </x:c>
      <x:c r="O10" s="83" t="n">
        <x:v>0</x:v>
      </x:c>
      <x:c r="P10" s="50" t="str">
        <x:v>#### 场景 M1-02：顾南炉的求救</x:v>
      </x:c>
    </x:row>
    <x:row r="11" ht="76" customHeight="1">
      <x:c r="A11" s="50" t="str">
        <x:v>M1-02</x:v>
      </x:c>
      <x:c r="B11" s="50" t="str">
        <x:v>顾南炉的求救</x:v>
      </x:c>
      <x:c r="C11" s="83" t="n">
        <x:v>1</x:v>
      </x:c>
      <x:c r="D11" s="83" t="n">
        <x:v>4</x:v>
      </x:c>
      <x:c r="E11" s="50" t="str">
        <x:v>离开。</x:v>
      </x:c>
      <x:c r="F11" s="50" t="str">
        <x:v>不可逆</x:v>
      </x:c>
      <x:c r="G11" s="50" t="str">
        <x:v>是</x:v>
      </x:c>
      <x:c r="H11" s="50" t="str">
        <x:v>无</x:v>
      </x:c>
      <x:c r="I11" s="50" t="str">
        <x:v> 明示“继续深入后顾南炉可能死亡”；二次确认。离开后完成两场战斗再回来， 只能找到遗物，炼器坊延迟到地图2商人事件解锁。</x:v>
      </x:c>
      <x:c r="J11" s="50" t="str">
        <x:v>原文未配置该选项的专属后续对白；保存选择结果后汇流到公共节点。</x:v>
      </x:c>
      <x:c r="K11" s="83" t="n">
        <x:v>0</x:v>
      </x:c>
      <x:c r="L11" s="83" t="str">
        <x:v>执行专属结果后汇流</x:v>
      </x:c>
      <x:c r="M11" s="83" t="str">
        <x:v>明示“继续深入后顾南炉可能死亡”
二次确认。离开后完成两场战斗再回来， 只能找到遗物，炼器坊延迟到地图2商人事件解锁。</x:v>
      </x:c>
      <x:c r="N11" s="83" t="n">
        <x:v>0</x:v>
      </x:c>
      <x:c r="O11" s="83" t="n">
        <x:v>0</x:v>
      </x:c>
      <x:c r="P11" s="50" t="str">
        <x:v>#### 场景 M1-02：顾南炉的求救</x:v>
      </x:c>
    </x:row>
    <x:row r="12" ht="76" customHeight="1">
      <x:c r="A12" s="50" t="str">
        <x:v>M1-03</x:v>
      </x:c>
      <x:c r="B12" s="50" t="str">
        <x:v>两份开山令</x:v>
      </x:c>
      <x:c r="C12" s="83" t="n">
        <x:v>1</x:v>
      </x:c>
      <x:c r="D12" s="83" t="n">
        <x:v>1</x:v>
      </x:c>
      <x:c r="E12" s="50" t="str">
        <x:v>带走两份命令。</x:v>
      </x:c>
      <x:c r="F12" s="50" t="str">
        <x:v>方法</x:v>
      </x:c>
      <x:c r="G12" s="50" t="str">
        <x:v>否</x:v>
      </x:c>
      <x:c r="H12" s="50" t="str">
        <x:v>无</x:v>
      </x:c>
      <x:c r="I12" s="50" t="str">
        <x:v> ye_evidence+1；占任务物栏，不占负重。</x:v>
      </x:c>
      <x:c r="J12" s="50" t="str">
        <x:v>原文未配置该选项的专属后续对白；保存选择结果后汇流到公共节点。</x:v>
      </x:c>
      <x:c r="K12" s="83" t="n">
        <x:v>0</x:v>
      </x:c>
      <x:c r="L12" s="83" t="str">
        <x:v>执行专属结果后汇流</x:v>
      </x:c>
      <x:c r="M12" s="83" t="str">
        <x:v>ye_evidence+1
占任务物栏，不占负重。</x:v>
      </x:c>
      <x:c r="N12" s="83" t="n">
        <x:v>0</x:v>
      </x:c>
      <x:c r="O12" s="83" t="n">
        <x:v>0</x:v>
      </x:c>
      <x:c r="P12" s="50" t="str">
        <x:v>#### 场景 M1-03：两份开山令</x:v>
      </x:c>
    </x:row>
    <x:row r="13" ht="76" customHeight="1">
      <x:c r="A13" s="50" t="str">
        <x:v>M1-03</x:v>
      </x:c>
      <x:c r="B13" s="50" t="str">
        <x:v>两份开山令</x:v>
      </x:c>
      <x:c r="C13" s="83" t="n">
        <x:v>1</x:v>
      </x:c>
      <x:c r="D13" s="83" t="n">
        <x:v>2</x:v>
      </x:c>
      <x:c r="E13" s="50" t="str">
        <x:v>焚去抽阵令，只留重封令。</x:v>
      </x:c>
      <x:c r="F13" s="50" t="str">
        <x:v>方法</x:v>
      </x:c>
      <x:c r="G13" s="50" t="str">
        <x:v>否</x:v>
      </x:c>
      <x:c r="H13" s="50" t="str">
        <x:v>无</x:v>
      </x:c>
      <x:c r="I13" s="50" t="str">
        <x:v> 获得短期“叶家善意”风味，ye_evidence不增加；墨言反对。</x:v>
      </x:c>
      <x:c r="J13" s="50" t="str">
        <x:v>原文未配置该选项的专属后续对白；保存选择结果后汇流到公共节点。</x:v>
      </x:c>
      <x:c r="K13" s="83" t="n">
        <x:v>0</x:v>
      </x:c>
      <x:c r="L13" s="83" t="str">
        <x:v>执行专属结果后汇流</x:v>
      </x:c>
      <x:c r="M13" s="83" t="str">
        <x:v>获得短期“叶家善意”风味，ye_evidence不增加
墨言反对。</x:v>
      </x:c>
      <x:c r="N13" s="83" t="n">
        <x:v>1</x:v>
      </x:c>
      <x:c r="O13" s="83" t="n">
        <x:v>0</x:v>
      </x:c>
      <x:c r="P13" s="50" t="str">
        <x:v>#### 场景 M1-03：两份开山令</x:v>
      </x:c>
    </x:row>
    <x:row r="14" ht="76" customHeight="1">
      <x:c r="A14" s="50" t="str">
        <x:v>M1-03</x:v>
      </x:c>
      <x:c r="B14" s="50" t="str">
        <x:v>两份开山令</x:v>
      </x:c>
      <x:c r="C14" s="83" t="n">
        <x:v>1</x:v>
      </x:c>
      <x:c r="D14" s="83" t="n">
        <x:v>3</x:v>
      </x:c>
      <x:c r="E14" s="50" t="str">
        <x:v>拓印后原样放回。</x:v>
      </x:c>
      <x:c r="F14" s="50" t="str">
        <x:v>方法</x:v>
      </x:c>
      <x:c r="G14" s="50" t="str">
        <x:v>否</x:v>
      </x:c>
      <x:c r="H14" s="50" t="str">
        <x:v>MAX ≥ 25</x:v>
      </x:c>
      <x:c r="I14" s="50" t="str">
        <x:v> 神识MAX≥25成功；ye_evidence+1，第三章可伏击回来取令的人。</x:v>
      </x:c>
      <x:c r="J14" s="50" t="str">
        <x:v>原文未配置该选项的专属后续对白；保存选择结果后汇流到公共节点。</x:v>
      </x:c>
      <x:c r="K14" s="83" t="n">
        <x:v>0</x:v>
      </x:c>
      <x:c r="L14" s="83" t="str">
        <x:v>执行专属结果后汇流</x:v>
      </x:c>
      <x:c r="M14" s="83" t="str">
        <x:v>神识MAX≥25成功
ye_evidence+1，第三章可伏击回来取令的人。</x:v>
      </x:c>
      <x:c r="N14" s="83" t="n">
        <x:v>0</x:v>
      </x:c>
      <x:c r="O14" s="83" t="n">
        <x:v>0</x:v>
      </x:c>
      <x:c r="P14" s="50" t="str">
        <x:v>#### 场景 M1-03：两份开山令</x:v>
      </x:c>
    </x:row>
    <x:row r="15" ht="76" customHeight="1">
      <x:c r="A15" s="50" t="str">
        <x:v>M1-04</x:v>
      </x:c>
      <x:c r="B15" s="50" t="str">
        <x:v>万修之门残碑</x:v>
      </x:c>
      <x:c r="C15" s="83" t="n">
        <x:v>1</x:v>
      </x:c>
      <x:c r="D15" s="83" t="n">
        <x:v>1</x:v>
      </x:c>
      <x:c r="E15" s="50" t="str">
        <x:v>追问十二年前。</x:v>
      </x:c>
      <x:c r="F15" s="50" t="str">
        <x:v>方法</x:v>
      </x:c>
      <x:c r="G15" s="50" t="str">
        <x:v>否</x:v>
      </x:c>
      <x:c r="H15" s="50" t="str">
        <x:v>cen_trust ≥ 1</x:v>
      </x:c>
      <x:c r="I15" s="50" t="str">
        <x:v> 若cen_trust≥1，岑承认旧队失踪；否则切断传讯。</x:v>
      </x:c>
      <x:c r="J15" s="50" t="str">
        <x:v>原文描述了后续反馈，但没有提供可直接播放的逐字对白： 若cen_trust≥1，岑承认旧队失踪；否则切断传讯。</x:v>
      </x:c>
      <x:c r="K15" s="83" t="n">
        <x:v>0</x:v>
      </x:c>
      <x:c r="L15" s="83" t="str">
        <x:v>执行专属结果后汇流</x:v>
      </x:c>
      <x:c r="M15" s="83" t="str">
        <x:v>若cen_trust≥1，岑承认旧队失踪
否则切断传讯。</x:v>
      </x:c>
      <x:c r="N15" s="83" t="n">
        <x:v>0</x:v>
      </x:c>
      <x:c r="O15" s="83" t="n">
        <x:v>0</x:v>
      </x:c>
      <x:c r="P15" s="50" t="str">
        <x:v>#### 场景 M1-04：万修之门残碑</x:v>
      </x:c>
    </x:row>
    <x:row r="16" ht="76" customHeight="1">
      <x:c r="A16" s="50" t="str">
        <x:v>M1-04</x:v>
      </x:c>
      <x:c r="B16" s="50" t="str">
        <x:v>万修之门残碑</x:v>
      </x:c>
      <x:c r="C16" s="83" t="n">
        <x:v>1</x:v>
      </x:c>
      <x:c r="D16" s="83" t="n">
        <x:v>2</x:v>
      </x:c>
      <x:c r="E16" s="50" t="str">
        <x:v>让陆清记录阵纹。</x:v>
      </x:c>
      <x:c r="F16" s="50" t="str">
        <x:v>方法</x:v>
      </x:c>
      <x:c r="G16" s="50" t="str">
        <x:v>否</x:v>
      </x:c>
      <x:c r="H16" s="50" t="str">
        <x:v>无</x:v>
      </x:c>
      <x:c r="I16" s="50" t="str">
        <x:v> 得残碑拓印，地图2检定+10。</x:v>
      </x:c>
      <x:c r="J16" s="50" t="str">
        <x:v>原文未配置该选项的专属后续对白；保存选择结果后汇流到公共节点。</x:v>
      </x:c>
      <x:c r="K16" s="83" t="n">
        <x:v>0</x:v>
      </x:c>
      <x:c r="L16" s="83" t="str">
        <x:v>执行专属结果后汇流</x:v>
      </x:c>
      <x:c r="M16" s="83" t="str">
        <x:v>得残碑拓印，地图2检定+10。</x:v>
      </x:c>
      <x:c r="N16" s="83" t="n">
        <x:v>1</x:v>
      </x:c>
      <x:c r="O16" s="83" t="n">
        <x:v>0</x:v>
      </x:c>
      <x:c r="P16" s="50" t="str">
        <x:v>#### 场景 M1-04：万修之门残碑</x:v>
      </x:c>
    </x:row>
    <x:row r="17" ht="76" customHeight="1">
      <x:c r="A17" s="50" t="str">
        <x:v>M1-04</x:v>
      </x:c>
      <x:c r="B17" s="50" t="str">
        <x:v>万修之门残碑</x:v>
      </x:c>
      <x:c r="C17" s="83" t="n">
        <x:v>1</x:v>
      </x:c>
      <x:c r="D17" s="83" t="n">
        <x:v>3</x:v>
      </x:c>
      <x:c r="E17" s="50" t="str">
        <x:v>以总印触碰刻痕。</x:v>
      </x:c>
      <x:c r="F17" s="50" t="str">
        <x:v>方法</x:v>
      </x:c>
      <x:c r="G17" s="50" t="str">
        <x:v>否</x:v>
      </x:c>
      <x:c r="H17" s="50" t="str">
        <x:v>无</x:v>
      </x:c>
      <x:c r="I17" s="50" t="str">
        <x:v> 看见十二道背影和一只握印的手；解锁额外回看，同时获得魔气侵蚀1层和魂晶100。</x:v>
      </x:c>
      <x:c r="J17" s="50" t="str">
        <x:v>原文未配置该选项的专属后续对白；保存选择结果后汇流到公共节点。</x:v>
      </x:c>
      <x:c r="K17" s="83" t="n">
        <x:v>0</x:v>
      </x:c>
      <x:c r="L17" s="83" t="str">
        <x:v>执行专属结果后汇流</x:v>
      </x:c>
      <x:c r="M17" s="83" t="str">
        <x:v>看见十二道背影和一只握印的手
解锁额外回看，同时获得魔气侵蚀1层和魂晶100。</x:v>
      </x:c>
      <x:c r="N17" s="83" t="n">
        <x:v>2</x:v>
      </x:c>
      <x:c r="O17" s="83" t="n">
        <x:v>0</x:v>
      </x:c>
      <x:c r="P17" s="50" t="str">
        <x:v>#### 场景 M1-04：万修之门残碑</x:v>
      </x:c>
    </x:row>
    <x:row r="18" ht="76" customHeight="1">
      <x:c r="A18" s="50" t="str">
        <x:v>M1-05</x:v>
      </x:c>
      <x:c r="B18" s="50" t="str">
        <x:v>守门石灵战前</x:v>
      </x:c>
      <x:c r="C18" s="83" t="n">
        <x:v>1</x:v>
      </x:c>
      <x:c r="D18" s="83" t="n">
        <x:v>1</x:v>
      </x:c>
      <x:c r="E18" s="50" t="str">
        <x:v>出示两份命令。</x:v>
      </x:c>
      <x:c r="F18" s="50" t="str">
        <x:v>方法</x:v>
      </x:c>
      <x:c r="G18" s="50" t="str">
        <x:v>否</x:v>
      </x:c>
      <x:c r="H18" s="50" t="str">
        <x:v>无</x:v>
      </x:c>
      <x:c r="I18" s="50" t="str">
        <x:v> 需持有；叶观衡沉默后称其中一份伪造；ye_guanheng_exposed进度+1。</x:v>
      </x:c>
      <x:c r="J18" s="50" t="str">
        <x:v>原文未配置该选项的专属后续对白；保存选择结果后汇流到公共节点。</x:v>
      </x:c>
      <x:c r="K18" s="83" t="n">
        <x:v>0</x:v>
      </x:c>
      <x:c r="L18" s="83" t="str">
        <x:v>执行专属结果后汇流</x:v>
      </x:c>
      <x:c r="M18" s="83" t="str">
        <x:v>需持有
叶观衡沉默后称其中一份伪造
ye_guanheng_exposed进度+1。</x:v>
      </x:c>
      <x:c r="N18" s="83" t="n">
        <x:v>0</x:v>
      </x:c>
      <x:c r="O18" s="83" t="n">
        <x:v>0</x:v>
      </x:c>
      <x:c r="P18" s="50" t="str">
        <x:v>#### 场景 M1-05：守门石灵战前</x:v>
      </x:c>
    </x:row>
    <x:row r="19" ht="76" customHeight="1">
      <x:c r="A19" s="50" t="str">
        <x:v>M1-05</x:v>
      </x:c>
      <x:c r="B19" s="50" t="str">
        <x:v>守门石灵战前</x:v>
      </x:c>
      <x:c r="C19" s="83" t="n">
        <x:v>1</x:v>
      </x:c>
      <x:c r="D19" s="83" t="n">
        <x:v>2</x:v>
      </x:c>
      <x:c r="E19" s="50" t="str">
        <x:v>要求叶观衡现身。</x:v>
      </x:c>
      <x:c r="F19" s="50" t="str">
        <x:v>方法</x:v>
      </x:c>
      <x:c r="G19" s="50" t="str">
        <x:v>否</x:v>
      </x:c>
      <x:c r="H19" s="50" t="str">
        <x:v>无</x:v>
      </x:c>
      <x:c r="I19" s="50" t="str">
        <x:v> 他拒绝；石灵开场反震计数少1层。</x:v>
      </x:c>
      <x:c r="J19" s="50" t="str">
        <x:v>原文描述了后续反馈，但没有提供可直接播放的逐字对白： 他拒绝；石灵开场反震计数少1层。</x:v>
      </x:c>
      <x:c r="K19" s="83" t="n">
        <x:v>0</x:v>
      </x:c>
      <x:c r="L19" s="83" t="str">
        <x:v>执行专属结果后汇流</x:v>
      </x:c>
      <x:c r="M19" s="83" t="str">
        <x:v>他拒绝
石灵开场反震计数少1层。</x:v>
      </x:c>
      <x:c r="N19" s="83" t="n">
        <x:v>0</x:v>
      </x:c>
      <x:c r="O19" s="83" t="n">
        <x:v>0</x:v>
      </x:c>
      <x:c r="P19" s="50" t="str">
        <x:v>#### 场景 M1-05：守门石灵战前</x:v>
      </x:c>
    </x:row>
    <x:row r="20" ht="76" customHeight="1">
      <x:c r="A20" s="51" t="str">
        <x:v>M1-05</x:v>
      </x:c>
      <x:c r="B20" s="51" t="str">
        <x:v>守门石灵战前</x:v>
      </x:c>
      <x:c r="C20" s="84" t="n">
        <x:v>1</x:v>
      </x:c>
      <x:c r="D20" s="84" t="n">
        <x:v>3</x:v>
      </x:c>
      <x:c r="E20" s="51" t="str">
        <x:v>不与他争，准备战斗。</x:v>
      </x:c>
      <x:c r="F20" s="51" t="str">
        <x:v>方法</x:v>
      </x:c>
      <x:c r="G20" s="51" t="str">
        <x:v>否</x:v>
      </x:c>
      <x:c r="H20" s="51" t="str">
        <x:v>无</x:v>
      </x:c>
      <x:c r="I20" s="51" t="str">
        <x:v> 全队获得40tick伤害+5%。</x:v>
      </x:c>
      <x:c r="J20" s="51" t="str">
        <x:v>原文未配置该选项的专属后续对白；保存选择结果后汇流到公共节点。</x:v>
      </x:c>
      <x:c r="K20" s="84" t="n">
        <x:v>0</x:v>
      </x:c>
      <x:c r="L20" s="84" t="str">
        <x:v>执行专属结果后汇流</x:v>
      </x:c>
      <x:c r="M20" s="84" t="str">
        <x:v>全队获得40tick伤害+5%。</x:v>
      </x:c>
      <x:c r="N20" s="84" t="n">
        <x:v>1</x:v>
      </x:c>
      <x:c r="O20" s="84" t="n">
        <x:v>0</x:v>
      </x:c>
      <x:c r="P20" s="51" t="str">
        <x:v>#### 场景 M1-05：守门石灵战前</x:v>
      </x:c>
    </x:row>
  </x:sheetData>
  <x:mergeCells>
    <x:mergeCell ref="A1:P1"/>
    <x:mergeCell ref="A2:P2"/>
  </x:mergeCells>
  <x:conditionalFormatting sqref="F5:F20">
    <x:cfRule type="containsText" dxfId="1" priority="1" operator="containsText" text="不可逆"/>
    <x:cfRule type="containsText" dxfId="2" priority="2" operator="containsText" text="态度"/>
    <x:cfRule type="containsText" dxfId="3" priority="3" operator="containsText" text="方法"/>
  </x:conditionalFormatting>
  <x:pageMargins left="0.7" right="0.7" top="0.75" bottom="0.75" header="0.3" footer="0.3"/>
  <x:tableParts count="1">
    <x:tablePart xmlns:r="http://schemas.openxmlformats.org/officeDocument/2006/relationships" r:id="Rba8d037b5d1c43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.329999923706055" hidden="0" customWidth="1"/>
    <x:col min="3" max="3" width="10" hidden="0" customWidth="1"/>
    <x:col min="4" max="4" width="16.670000076293945" hidden="0" customWidth="1"/>
    <x:col min="5" max="5" width="8.670000076293945" hidden="0" customWidth="1"/>
    <x:col min="6" max="6" width="8.890000343322754" hidden="0" customWidth="1"/>
    <x:col min="7" max="7" width="23.329999923706055" hidden="0" customWidth="1"/>
    <x:col min="8" max="8" width="6.670000076293945" hidden="0" customWidth="1"/>
    <x:col min="9" max="9" width="10.5600004196167" hidden="0" customWidth="1"/>
    <x:col min="10" max="10" width="40" hidden="0" customWidth="1"/>
    <x:col min="11" max="11" width="21.110000610351562" hidden="0" customWidth="1"/>
  </x:cols>
  <x:sheetData>
    <x:row r="1" ht="34" customHeight="1">
      <x:c r="A1" s="3" t="str">
        <x:v>C01 奖励与消耗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3" customHeight="1">
      <x:c r="A2" s="6" t="str">
        <x:v>“场景汇总”用于快速查看整场奖励；“具体节点”用于定位奖励属于哪个选项或结算节点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38" t="str">
        <x:v>场景</x:v>
      </x:c>
      <x:c r="B4" s="39" t="str">
        <x:v>场景名</x:v>
      </x:c>
      <x:c r="C4" s="39" t="str">
        <x:v>归属层级</x:v>
      </x:c>
      <x:c r="D4" s="39" t="str">
        <x:v>节点</x:v>
      </x:c>
      <x:c r="E4" s="39" t="str">
        <x:v>变更类型</x:v>
      </x:c>
      <x:c r="F4" s="39" t="str">
        <x:v>类别</x:v>
      </x:c>
      <x:c r="G4" s="39" t="str">
        <x:v>名称</x:v>
      </x:c>
      <x:c r="H4" s="39" t="str">
        <x:v>数量</x:v>
      </x:c>
      <x:c r="I4" s="39" t="str">
        <x:v>发放时机</x:v>
      </x:c>
      <x:c r="J4" s="39" t="str">
        <x:v>原文依据</x:v>
      </x:c>
      <x:c r="K4" s="40" t="str">
        <x:v>来源标题</x:v>
      </x:c>
    </x:row>
    <x:row r="5" ht="56" customHeight="1">
      <x:c r="A5" s="49" t="str">
        <x:v>M1-01</x:v>
      </x:c>
      <x:c r="B5" s="49" t="str">
        <x:v>第一盏阵灯</x:v>
      </x:c>
      <x:c r="C5" s="49" t="str">
        <x:v>具体节点</x:v>
      </x:c>
      <x:c r="D5" s="49" t="str">
        <x:v>让陆清校正阵纹。</x:v>
      </x:c>
      <x:c r="E5" s="49" t="str">
        <x:v>消耗</x:v>
      </x:c>
      <x:c r="F5" s="49" t="str">
        <x:v>资源</x:v>
      </x:c>
      <x:c r="G5" s="49" t="str">
        <x:v>灵晶</x:v>
      </x:c>
      <x:c r="H5" s="79" t="n">
        <x:v>1</x:v>
      </x:c>
      <x:c r="I5" s="49" t="str">
        <x:v>立即</x:v>
      </x:c>
      <x:c r="J5" s="49" t="str">
        <x:v>消耗灵晶1</x:v>
      </x:c>
      <x:c r="K5" s="49" t="str">
        <x:v>#### 场景 M1-01：第一盏阵灯</x:v>
      </x:c>
    </x:row>
    <x:row r="6" ht="56" customHeight="1">
      <x:c r="A6" s="50" t="str">
        <x:v>M1-01</x:v>
      </x:c>
      <x:c r="B6" s="50" t="str">
        <x:v>第一盏阵灯</x:v>
      </x:c>
      <x:c r="C6" s="50" t="str">
        <x:v>具体节点</x:v>
      </x:c>
      <x:c r="D6" s="50" t="str">
        <x:v>用开山镐拆掉外壳。</x:v>
      </x:c>
      <x:c r="E6" s="50" t="str">
        <x:v>奖励</x:v>
      </x:c>
      <x:c r="F6" s="50" t="str">
        <x:v>道具</x:v>
      </x:c>
      <x:c r="G6" s="50" t="str">
        <x:v>玄铁</x:v>
      </x:c>
      <x:c r="H6" s="80" t="n">
        <x:v>3</x:v>
      </x:c>
      <x:c r="I6" s="50" t="str">
        <x:v>立即</x:v>
      </x:c>
      <x:c r="J6" s="50" t="str">
        <x:v>取得玄铁3</x:v>
      </x:c>
      <x:c r="K6" s="50" t="str">
        <x:v>#### 场景 M1-01：第一盏阵灯</x:v>
      </x:c>
    </x:row>
    <x:row r="7" ht="56" customHeight="1">
      <x:c r="A7" s="50" t="str">
        <x:v>M1-01</x:v>
      </x:c>
      <x:c r="B7" s="50" t="str">
        <x:v>第一盏阵灯</x:v>
      </x:c>
      <x:c r="C7" s="50" t="str">
        <x:v>具体节点</x:v>
      </x:c>
      <x:c r="D7" s="50" t="str">
        <x:v>用开山镐拆掉外壳。</x:v>
      </x:c>
      <x:c r="E7" s="50" t="str">
        <x:v>消耗</x:v>
      </x:c>
      <x:c r="F7" s="50" t="str">
        <x:v>道具</x:v>
      </x:c>
      <x:c r="G7" s="50" t="str">
        <x:v>开山镐</x:v>
      </x:c>
      <x:c r="H7" s="80" t="str"/>
      <x:c r="I7" s="50" t="str">
        <x:v>立即</x:v>
      </x:c>
      <x:c r="J7" s="50" t="str">
        <x:v>扣除开山镐</x:v>
      </x:c>
      <x:c r="K7" s="50" t="str">
        <x:v>#### 场景 M1-01：第一盏阵灯</x:v>
      </x:c>
    </x:row>
    <x:row r="8" ht="56" customHeight="1">
      <x:c r="A8" s="50" t="str">
        <x:v>M1-01</x:v>
      </x:c>
      <x:c r="B8" s="50" t="str">
        <x:v>第一盏阵灯</x:v>
      </x:c>
      <x:c r="C8" s="50" t="str">
        <x:v>场景汇总</x:v>
      </x:c>
      <x:c r="D8" s="50" t="str">
        <x:v>—</x:v>
      </x:c>
      <x:c r="E8" s="50" t="str">
        <x:v>奖励</x:v>
      </x:c>
      <x:c r="F8" s="50" t="str">
        <x:v>道具</x:v>
      </x:c>
      <x:c r="G8" s="50" t="str">
        <x:v>玄铁</x:v>
      </x:c>
      <x:c r="H8" s="80" t="n">
        <x:v>3</x:v>
      </x:c>
      <x:c r="I8" s="50" t="str">
        <x:v>立即</x:v>
      </x:c>
      <x:c r="J8" s="50" t="str">
        <x:v>取得玄铁3</x:v>
      </x:c>
      <x:c r="K8" s="50" t="str">
        <x:v>#### 场景 M1-01：第一盏阵灯</x:v>
      </x:c>
    </x:row>
    <x:row r="9" ht="56" customHeight="1">
      <x:c r="A9" s="50" t="str">
        <x:v>M1-01</x:v>
      </x:c>
      <x:c r="B9" s="50" t="str">
        <x:v>第一盏阵灯</x:v>
      </x:c>
      <x:c r="C9" s="50" t="str">
        <x:v>场景汇总</x:v>
      </x:c>
      <x:c r="D9" s="50" t="str">
        <x:v>—</x:v>
      </x:c>
      <x:c r="E9" s="50" t="str">
        <x:v>消耗</x:v>
      </x:c>
      <x:c r="F9" s="50" t="str">
        <x:v>资源</x:v>
      </x:c>
      <x:c r="G9" s="50" t="str">
        <x:v>灵晶</x:v>
      </x:c>
      <x:c r="H9" s="80" t="n">
        <x:v>1</x:v>
      </x:c>
      <x:c r="I9" s="50" t="str">
        <x:v>立即</x:v>
      </x:c>
      <x:c r="J9" s="50" t="str">
        <x:v>消耗灵晶1</x:v>
      </x:c>
      <x:c r="K9" s="50" t="str">
        <x:v>#### 场景 M1-01：第一盏阵灯</x:v>
      </x:c>
    </x:row>
    <x:row r="10" ht="56" customHeight="1">
      <x:c r="A10" s="50" t="str">
        <x:v>M1-01</x:v>
      </x:c>
      <x:c r="B10" s="50" t="str">
        <x:v>第一盏阵灯</x:v>
      </x:c>
      <x:c r="C10" s="50" t="str">
        <x:v>场景汇总</x:v>
      </x:c>
      <x:c r="D10" s="50" t="str">
        <x:v>—</x:v>
      </x:c>
      <x:c r="E10" s="50" t="str">
        <x:v>消耗</x:v>
      </x:c>
      <x:c r="F10" s="50" t="str">
        <x:v>道具</x:v>
      </x:c>
      <x:c r="G10" s="50" t="str">
        <x:v>开山镐</x:v>
      </x:c>
      <x:c r="H10" s="80" t="str"/>
      <x:c r="I10" s="50" t="str">
        <x:v>立即</x:v>
      </x:c>
      <x:c r="J10" s="50" t="str">
        <x:v>扣除开山镐</x:v>
      </x:c>
      <x:c r="K10" s="50" t="str">
        <x:v>#### 场景 M1-01：第一盏阵灯</x:v>
      </x:c>
    </x:row>
    <x:row r="11" ht="56" customHeight="1">
      <x:c r="A11" s="50" t="str">
        <x:v>M1-02</x:v>
      </x:c>
      <x:c r="B11" s="50" t="str">
        <x:v>顾南炉的求救</x:v>
      </x:c>
      <x:c r="C11" s="50" t="str">
        <x:v>具体节点</x:v>
      </x:c>
      <x:c r="D11" s="50" t="str">
        <x:v>用开山镐按他说的位置破岩。</x:v>
      </x:c>
      <x:c r="E11" s="50" t="str">
        <x:v>消耗</x:v>
      </x:c>
      <x:c r="F11" s="50" t="str">
        <x:v>道具</x:v>
      </x:c>
      <x:c r="G11" s="50" t="str">
        <x:v>开山镐</x:v>
      </x:c>
      <x:c r="H11" s="80" t="str"/>
      <x:c r="I11" s="50" t="str">
        <x:v>立即</x:v>
      </x:c>
      <x:c r="J11" s="50" t="str">
        <x:v>扣除开山镐</x:v>
      </x:c>
      <x:c r="K11" s="50" t="str">
        <x:v>#### 场景 M1-02：顾南炉的求救</x:v>
      </x:c>
    </x:row>
    <x:row r="12" ht="56" customHeight="1">
      <x:c r="A12" s="50" t="str">
        <x:v>M1-02</x:v>
      </x:c>
      <x:c r="B12" s="50" t="str">
        <x:v>顾南炉的求救</x:v>
      </x:c>
      <x:c r="C12" s="50" t="str">
        <x:v>具体节点</x:v>
      </x:c>
      <x:c r="D12" s="50" t="str">
        <x:v>结算</x:v>
      </x:c>
      <x:c r="E12" s="50" t="str">
        <x:v>奖励</x:v>
      </x:c>
      <x:c r="F12" s="50" t="str">
        <x:v>道具</x:v>
      </x:c>
      <x:c r="G12" s="50" t="str">
        <x:v>两份阵器拓图，ye_evidence+1</x:v>
      </x:c>
      <x:c r="H12" s="80" t="str"/>
      <x:c r="I12" s="50" t="str">
        <x:v>立即</x:v>
      </x:c>
      <x:c r="J12" s="50" t="str">
        <x:v>获得两份阵器拓图，ye_evidence+1</x:v>
      </x:c>
      <x:c r="K12" s="50" t="str">
        <x:v>#### 场景 M1-02：顾南炉的求救</x:v>
      </x:c>
    </x:row>
    <x:row r="13" ht="56" customHeight="1">
      <x:c r="A13" s="50" t="str">
        <x:v>M1-02</x:v>
      </x:c>
      <x:c r="B13" s="50" t="str">
        <x:v>顾南炉的求救</x:v>
      </x:c>
      <x:c r="C13" s="50" t="str">
        <x:v>具体节点</x:v>
      </x:c>
      <x:c r="D13" s="50" t="str">
        <x:v>结算</x:v>
      </x:c>
      <x:c r="E13" s="50" t="str">
        <x:v>奖励</x:v>
      </x:c>
      <x:c r="F13" s="50" t="str">
        <x:v>配方</x:v>
      </x:c>
      <x:c r="G13" s="50" t="str">
        <x:v>炼器坊，同时交付符心佩 配方</x:v>
      </x:c>
      <x:c r="H13" s="80" t="str"/>
      <x:c r="I13" s="50" t="str">
        <x:v>立即</x:v>
      </x:c>
      <x:c r="J13" s="50" t="str">
        <x:v>解锁炼器坊，同时交付符心佩 配方与首件核心</x:v>
      </x:c>
      <x:c r="K13" s="50" t="str">
        <x:v>#### 场景 M1-02：顾南炉的求救</x:v>
      </x:c>
    </x:row>
    <x:row r="14" ht="56" customHeight="1">
      <x:c r="A14" s="50" t="str">
        <x:v>M1-02</x:v>
      </x:c>
      <x:c r="B14" s="50" t="str">
        <x:v>顾南炉的求救</x:v>
      </x:c>
      <x:c r="C14" s="50" t="str">
        <x:v>具体节点</x:v>
      </x:c>
      <x:c r="D14" s="50" t="str">
        <x:v>结算</x:v>
      </x:c>
      <x:c r="E14" s="50" t="str">
        <x:v>奖励</x:v>
      </x:c>
      <x:c r="F14" s="50" t="str">
        <x:v>道具</x:v>
      </x:c>
      <x:c r="G14" s="50" t="str">
        <x:v>首件核心</x:v>
      </x:c>
      <x:c r="H14" s="80" t="str"/>
      <x:c r="I14" s="50" t="str">
        <x:v>立即</x:v>
      </x:c>
      <x:c r="J14" s="50" t="str">
        <x:v>解锁炼器坊，同时交付符心佩 配方与首件核心</x:v>
      </x:c>
      <x:c r="K14" s="50" t="str">
        <x:v>#### 场景 M1-02：顾南炉的求救</x:v>
      </x:c>
    </x:row>
    <x:row r="15" ht="56" customHeight="1">
      <x:c r="A15" s="50" t="str">
        <x:v>M1-02</x:v>
      </x:c>
      <x:c r="B15" s="50" t="str">
        <x:v>顾南炉的求救</x:v>
      </x:c>
      <x:c r="C15" s="50" t="str">
        <x:v>具体节点</x:v>
      </x:c>
      <x:c r="D15" s="50" t="str">
        <x:v>结算</x:v>
      </x:c>
      <x:c r="E15" s="50" t="str">
        <x:v>消耗</x:v>
      </x:c>
      <x:c r="F15" s="50" t="str">
        <x:v>道具</x:v>
      </x:c>
      <x:c r="G15" s="50" t="str">
        <x:v>上品铁胚</x:v>
      </x:c>
      <x:c r="H15" s="80" t="str"/>
      <x:c r="I15" s="50" t="str">
        <x:v>立即</x:v>
      </x:c>
      <x:c r="J15" s="50" t="str">
        <x:v>需提交上品铁胚和蓝图要求的器纹，七维由提交的器纹决定</x:v>
      </x:c>
      <x:c r="K15" s="50" t="str">
        <x:v>#### 场景 M1-02：顾南炉的求救</x:v>
      </x:c>
    </x:row>
    <x:row r="16" ht="56" customHeight="1">
      <x:c r="A16" s="50" t="str">
        <x:v>M1-02</x:v>
      </x:c>
      <x:c r="B16" s="50" t="str">
        <x:v>顾南炉的求救</x:v>
      </x:c>
      <x:c r="C16" s="50" t="str">
        <x:v>具体节点</x:v>
      </x:c>
      <x:c r="D16" s="50" t="str">
        <x:v>结算</x:v>
      </x:c>
      <x:c r="E16" s="50" t="str">
        <x:v>消耗</x:v>
      </x:c>
      <x:c r="F16" s="50" t="str">
        <x:v>道具</x:v>
      </x:c>
      <x:c r="G16" s="50" t="str">
        <x:v>蓝图要求的器纹，七维由提交的器纹决定</x:v>
      </x:c>
      <x:c r="H16" s="80" t="str"/>
      <x:c r="I16" s="50" t="str">
        <x:v>立即</x:v>
      </x:c>
      <x:c r="J16" s="50" t="str">
        <x:v>需提交上品铁胚和蓝图要求的器纹，七维由提交的器纹决定</x:v>
      </x:c>
      <x:c r="K16" s="50" t="str">
        <x:v>#### 场景 M1-02：顾南炉的求救</x:v>
      </x:c>
    </x:row>
    <x:row r="17" ht="56" customHeight="1">
      <x:c r="A17" s="50" t="str">
        <x:v>M1-02</x:v>
      </x:c>
      <x:c r="B17" s="50" t="str">
        <x:v>顾南炉的求救</x:v>
      </x:c>
      <x:c r="C17" s="50" t="str">
        <x:v>场景汇总</x:v>
      </x:c>
      <x:c r="D17" s="50" t="str">
        <x:v>—</x:v>
      </x:c>
      <x:c r="E17" s="50" t="str">
        <x:v>奖励</x:v>
      </x:c>
      <x:c r="F17" s="50" t="str">
        <x:v>道具</x:v>
      </x:c>
      <x:c r="G17" s="50" t="str">
        <x:v>两份阵器拓图，ye_evidence+1`</x:v>
      </x:c>
      <x:c r="H17" s="80" t="str"/>
      <x:c r="I17" s="50" t="str">
        <x:v>立即</x:v>
      </x:c>
      <x:c r="J17" s="50" t="str">
        <x:v>获得两份阵器拓图，ye_evidence+1`</x:v>
      </x:c>
      <x:c r="K17" s="50" t="str">
        <x:v>#### 场景 M1-02：顾南炉的求救</x:v>
      </x:c>
    </x:row>
    <x:row r="18" ht="56" customHeight="1">
      <x:c r="A18" s="50" t="str">
        <x:v>M1-02</x:v>
      </x:c>
      <x:c r="B18" s="50" t="str">
        <x:v>顾南炉的求救</x:v>
      </x:c>
      <x:c r="C18" s="50" t="str">
        <x:v>场景汇总</x:v>
      </x:c>
      <x:c r="D18" s="50" t="str">
        <x:v>—</x:v>
      </x:c>
      <x:c r="E18" s="50" t="str">
        <x:v>奖励</x:v>
      </x:c>
      <x:c r="F18" s="50" t="str">
        <x:v>配方</x:v>
      </x:c>
      <x:c r="G18" s="50" t="str">
        <x:v>炼器坊，同时交付符心佩 配方</x:v>
      </x:c>
      <x:c r="H18" s="80" t="str"/>
      <x:c r="I18" s="50" t="str">
        <x:v>立即</x:v>
      </x:c>
      <x:c r="J18" s="50" t="str">
        <x:v>解锁炼器坊，同时交付符心佩 配方与首件核心</x:v>
      </x:c>
      <x:c r="K18" s="50" t="str">
        <x:v>#### 场景 M1-02：顾南炉的求救</x:v>
      </x:c>
    </x:row>
    <x:row r="19" ht="56" customHeight="1">
      <x:c r="A19" s="50" t="str">
        <x:v>M1-02</x:v>
      </x:c>
      <x:c r="B19" s="50" t="str">
        <x:v>顾南炉的求救</x:v>
      </x:c>
      <x:c r="C19" s="50" t="str">
        <x:v>场景汇总</x:v>
      </x:c>
      <x:c r="D19" s="50" t="str">
        <x:v>—</x:v>
      </x:c>
      <x:c r="E19" s="50" t="str">
        <x:v>奖励</x:v>
      </x:c>
      <x:c r="F19" s="50" t="str">
        <x:v>道具</x:v>
      </x:c>
      <x:c r="G19" s="50" t="str">
        <x:v>首件核心</x:v>
      </x:c>
      <x:c r="H19" s="80" t="str"/>
      <x:c r="I19" s="50" t="str">
        <x:v>立即</x:v>
      </x:c>
      <x:c r="J19" s="50" t="str">
        <x:v>解锁炼器坊，同时交付符心佩 配方与首件核心</x:v>
      </x:c>
      <x:c r="K19" s="50" t="str">
        <x:v>#### 场景 M1-02：顾南炉的求救</x:v>
      </x:c>
    </x:row>
    <x:row r="20" ht="56" customHeight="1">
      <x:c r="A20" s="50" t="str">
        <x:v>M1-02</x:v>
      </x:c>
      <x:c r="B20" s="50" t="str">
        <x:v>顾南炉的求救</x:v>
      </x:c>
      <x:c r="C20" s="50" t="str">
        <x:v>场景汇总</x:v>
      </x:c>
      <x:c r="D20" s="50" t="str">
        <x:v>—</x:v>
      </x:c>
      <x:c r="E20" s="50" t="str">
        <x:v>消耗</x:v>
      </x:c>
      <x:c r="F20" s="50" t="str">
        <x:v>道具</x:v>
      </x:c>
      <x:c r="G20" s="50" t="str">
        <x:v>开山镐</x:v>
      </x:c>
      <x:c r="H20" s="80" t="str"/>
      <x:c r="I20" s="50" t="str">
        <x:v>立即</x:v>
      </x:c>
      <x:c r="J20" s="50" t="str">
        <x:v>扣除开山镐</x:v>
      </x:c>
      <x:c r="K20" s="50" t="str">
        <x:v>#### 场景 M1-02：顾南炉的求救</x:v>
      </x:c>
    </x:row>
    <x:row r="21" ht="56" customHeight="1">
      <x:c r="A21" s="50" t="str">
        <x:v>M1-02</x:v>
      </x:c>
      <x:c r="B21" s="50" t="str">
        <x:v>顾南炉的求救</x:v>
      </x:c>
      <x:c r="C21" s="50" t="str">
        <x:v>场景汇总</x:v>
      </x:c>
      <x:c r="D21" s="50" t="str">
        <x:v>—</x:v>
      </x:c>
      <x:c r="E21" s="50" t="str">
        <x:v>消耗</x:v>
      </x:c>
      <x:c r="F21" s="50" t="str">
        <x:v>道具</x:v>
      </x:c>
      <x:c r="G21" s="50" t="str">
        <x:v>上品铁胚</x:v>
      </x:c>
      <x:c r="H21" s="80" t="str"/>
      <x:c r="I21" s="50" t="str">
        <x:v>立即</x:v>
      </x:c>
      <x:c r="J21" s="50" t="str">
        <x:v>需提交上品铁胚和蓝图要求的器纹，七维由提交的器纹决定</x:v>
      </x:c>
      <x:c r="K21" s="50" t="str">
        <x:v>#### 场景 M1-02：顾南炉的求救</x:v>
      </x:c>
    </x:row>
    <x:row r="22" ht="56" customHeight="1">
      <x:c r="A22" s="50" t="str">
        <x:v>M1-02</x:v>
      </x:c>
      <x:c r="B22" s="50" t="str">
        <x:v>顾南炉的求救</x:v>
      </x:c>
      <x:c r="C22" s="50" t="str">
        <x:v>场景汇总</x:v>
      </x:c>
      <x:c r="D22" s="50" t="str">
        <x:v>—</x:v>
      </x:c>
      <x:c r="E22" s="50" t="str">
        <x:v>消耗</x:v>
      </x:c>
      <x:c r="F22" s="50" t="str">
        <x:v>道具</x:v>
      </x:c>
      <x:c r="G22" s="50" t="str">
        <x:v>蓝图要求的器纹，七维由提交的器纹决定</x:v>
      </x:c>
      <x:c r="H22" s="80" t="str"/>
      <x:c r="I22" s="50" t="str">
        <x:v>立即</x:v>
      </x:c>
      <x:c r="J22" s="50" t="str">
        <x:v>需提交上品铁胚和蓝图要求的器纹，七维由提交的器纹决定</x:v>
      </x:c>
      <x:c r="K22" s="50" t="str">
        <x:v>#### 场景 M1-02：顾南炉的求救</x:v>
      </x:c>
    </x:row>
    <x:row r="23" ht="56" customHeight="1">
      <x:c r="A23" s="50" t="str">
        <x:v>M1-03</x:v>
      </x:c>
      <x:c r="B23" s="50" t="str">
        <x:v>两份开山令</x:v>
      </x:c>
      <x:c r="C23" s="50" t="str">
        <x:v>具体节点</x:v>
      </x:c>
      <x:c r="D23" s="50" t="str">
        <x:v>焚去抽阵令，只留重封令。</x:v>
      </x:c>
      <x:c r="E23" s="50" t="str">
        <x:v>奖励</x:v>
      </x:c>
      <x:c r="F23" s="50" t="str">
        <x:v>功能/状态</x:v>
      </x:c>
      <x:c r="G23" s="50" t="str">
        <x:v>短期“叶家善意”风味，ye_evidence不增加</x:v>
      </x:c>
      <x:c r="H23" s="80" t="str"/>
      <x:c r="I23" s="50" t="str">
        <x:v>立即</x:v>
      </x:c>
      <x:c r="J23" s="50" t="str">
        <x:v>获得短期“叶家善意”风味，ye_evidence不增加</x:v>
      </x:c>
      <x:c r="K23" s="50" t="str">
        <x:v>#### 场景 M1-03：两份开山令</x:v>
      </x:c>
    </x:row>
    <x:row r="24" ht="56" customHeight="1">
      <x:c r="A24" s="50" t="str">
        <x:v>M1-03</x:v>
      </x:c>
      <x:c r="B24" s="50" t="str">
        <x:v>两份开山令</x:v>
      </x:c>
      <x:c r="C24" s="50" t="str">
        <x:v>场景汇总</x:v>
      </x:c>
      <x:c r="D24" s="50" t="str">
        <x:v>—</x:v>
      </x:c>
      <x:c r="E24" s="50" t="str">
        <x:v>奖励</x:v>
      </x:c>
      <x:c r="F24" s="50" t="str">
        <x:v>功能/状态</x:v>
      </x:c>
      <x:c r="G24" s="50" t="str">
        <x:v>短期“叶家善意”风味，ye_evidence不增加</x:v>
      </x:c>
      <x:c r="H24" s="80" t="str"/>
      <x:c r="I24" s="50" t="str">
        <x:v>立即</x:v>
      </x:c>
      <x:c r="J24" s="50" t="str">
        <x:v>获得短期“叶家善意”风味，ye_evidence不增加</x:v>
      </x:c>
      <x:c r="K24" s="50" t="str">
        <x:v>#### 场景 M1-03：两份开山令</x:v>
      </x:c>
    </x:row>
    <x:row r="25" ht="56" customHeight="1">
      <x:c r="A25" s="50" t="str">
        <x:v>M1-03</x:v>
      </x:c>
      <x:c r="B25" s="50" t="str">
        <x:v>两份开山令</x:v>
      </x:c>
      <x:c r="C25" s="50" t="str">
        <x:v>场景汇总</x:v>
      </x:c>
      <x:c r="D25" s="50" t="str">
        <x:v>—</x:v>
      </x:c>
      <x:c r="E25" s="50" t="str">
        <x:v>奖励</x:v>
      </x:c>
      <x:c r="F25" s="50" t="str">
        <x:v>道具</x:v>
      </x:c>
      <x:c r="G25" s="50" t="str">
        <x:v>乌婆</x:v>
      </x:c>
      <x:c r="H25" s="80" t="str"/>
      <x:c r="I25" s="50" t="str">
        <x:v>立即</x:v>
      </x:c>
      <x:c r="J25" s="50" t="str">
        <x:v>解锁乌婆</x:v>
      </x:c>
      <x:c r="K25" s="50" t="str">
        <x:v>#### 场景 M1-03：两份开山令</x:v>
      </x:c>
    </x:row>
    <x:row r="26" ht="56" customHeight="1">
      <x:c r="A26" s="50" t="str">
        <x:v>M1-03</x:v>
      </x:c>
      <x:c r="B26" s="50" t="str">
        <x:v>两份开山令</x:v>
      </x:c>
      <x:c r="C26" s="50" t="str">
        <x:v>场景汇总</x:v>
      </x:c>
      <x:c r="D26" s="50" t="str">
        <x:v>—</x:v>
      </x:c>
      <x:c r="E26" s="50" t="str">
        <x:v>奖励</x:v>
      </x:c>
      <x:c r="F26" s="50" t="str">
        <x:v>资源</x:v>
      </x:c>
      <x:c r="G26" s="50" t="str">
        <x:v>魂晶</x:v>
      </x:c>
      <x:c r="H26" s="80" t="n">
        <x:v>80</x:v>
      </x:c>
      <x:c r="I26" s="50" t="str">
        <x:v>立即</x:v>
      </x:c>
      <x:c r="J26" s="50" t="str">
        <x:v>获得魂晶80</x:v>
      </x:c>
      <x:c r="K26" s="50" t="str">
        <x:v>#### 场景 M1-03：两份开山令</x:v>
      </x:c>
    </x:row>
    <x:row r="27" ht="56" customHeight="1">
      <x:c r="A27" s="50" t="str">
        <x:v>M1-04</x:v>
      </x:c>
      <x:c r="B27" s="50" t="str">
        <x:v>万修之门残碑</x:v>
      </x:c>
      <x:c r="C27" s="50" t="str">
        <x:v>具体节点</x:v>
      </x:c>
      <x:c r="D27" s="50" t="str">
        <x:v>让陆清记录阵纹。</x:v>
      </x:c>
      <x:c r="E27" s="50" t="str">
        <x:v>奖励</x:v>
      </x:c>
      <x:c r="F27" s="50" t="str">
        <x:v>道具</x:v>
      </x:c>
      <x:c r="G27" s="50" t="str">
        <x:v>残碑拓印</x:v>
      </x:c>
      <x:c r="H27" s="80" t="str"/>
      <x:c r="I27" s="50" t="str">
        <x:v>立即</x:v>
      </x:c>
      <x:c r="J27" s="50" t="str">
        <x:v>得残碑拓印</x:v>
      </x:c>
      <x:c r="K27" s="50" t="str">
        <x:v>#### 场景 M1-04：万修之门残碑</x:v>
      </x:c>
    </x:row>
    <x:row r="28" ht="56" customHeight="1">
      <x:c r="A28" s="50" t="str">
        <x:v>M1-04</x:v>
      </x:c>
      <x:c r="B28" s="50" t="str">
        <x:v>万修之门残碑</x:v>
      </x:c>
      <x:c r="C28" s="50" t="str">
        <x:v>具体节点</x:v>
      </x:c>
      <x:c r="D28" s="50" t="str">
        <x:v>以总印触碰刻痕。</x:v>
      </x:c>
      <x:c r="E28" s="50" t="str">
        <x:v>奖励</x:v>
      </x:c>
      <x:c r="F28" s="50" t="str">
        <x:v>功能/状态</x:v>
      </x:c>
      <x:c r="G28" s="50" t="str">
        <x:v>额外回看，同时获得魔气侵蚀1层</x:v>
      </x:c>
      <x:c r="H28" s="80" t="str"/>
      <x:c r="I28" s="50" t="str">
        <x:v>立即</x:v>
      </x:c>
      <x:c r="J28" s="50" t="str">
        <x:v>解锁额外回看，同时获得魔气侵蚀1层和魂晶100</x:v>
      </x:c>
      <x:c r="K28" s="50" t="str">
        <x:v>#### 场景 M1-04：万修之门残碑</x:v>
      </x:c>
    </x:row>
    <x:row r="29" ht="56" customHeight="1">
      <x:c r="A29" s="50" t="str">
        <x:v>M1-04</x:v>
      </x:c>
      <x:c r="B29" s="50" t="str">
        <x:v>万修之门残碑</x:v>
      </x:c>
      <x:c r="C29" s="50" t="str">
        <x:v>具体节点</x:v>
      </x:c>
      <x:c r="D29" s="50" t="str">
        <x:v>以总印触碰刻痕。</x:v>
      </x:c>
      <x:c r="E29" s="50" t="str">
        <x:v>奖励</x:v>
      </x:c>
      <x:c r="F29" s="50" t="str">
        <x:v>资源</x:v>
      </x:c>
      <x:c r="G29" s="50" t="str">
        <x:v>魂晶</x:v>
      </x:c>
      <x:c r="H29" s="80" t="n">
        <x:v>100</x:v>
      </x:c>
      <x:c r="I29" s="50" t="str">
        <x:v>立即</x:v>
      </x:c>
      <x:c r="J29" s="50" t="str">
        <x:v>解锁额外回看，同时获得魔气侵蚀1层和魂晶100</x:v>
      </x:c>
      <x:c r="K29" s="50" t="str">
        <x:v>#### 场景 M1-04：万修之门残碑</x:v>
      </x:c>
    </x:row>
    <x:row r="30" ht="56" customHeight="1">
      <x:c r="A30" s="50" t="str">
        <x:v>M1-04</x:v>
      </x:c>
      <x:c r="B30" s="50" t="str">
        <x:v>万修之门残碑</x:v>
      </x:c>
      <x:c r="C30" s="50" t="str">
        <x:v>场景汇总</x:v>
      </x:c>
      <x:c r="D30" s="50" t="str">
        <x:v>—</x:v>
      </x:c>
      <x:c r="E30" s="50" t="str">
        <x:v>奖励</x:v>
      </x:c>
      <x:c r="F30" s="50" t="str">
        <x:v>功能/状态</x:v>
      </x:c>
      <x:c r="G30" s="50" t="str">
        <x:v>额外回看，同时获得魔气侵蚀1层</x:v>
      </x:c>
      <x:c r="H30" s="80" t="str"/>
      <x:c r="I30" s="50" t="str">
        <x:v>立即</x:v>
      </x:c>
      <x:c r="J30" s="50" t="str">
        <x:v>解锁额外回看，同时获得魔气侵蚀1层和魂晶100</x:v>
      </x:c>
      <x:c r="K30" s="50" t="str">
        <x:v>#### 场景 M1-04：万修之门残碑</x:v>
      </x:c>
    </x:row>
    <x:row r="31" ht="56" customHeight="1">
      <x:c r="A31" s="50" t="str">
        <x:v>M1-04</x:v>
      </x:c>
      <x:c r="B31" s="50" t="str">
        <x:v>万修之门残碑</x:v>
      </x:c>
      <x:c r="C31" s="50" t="str">
        <x:v>场景汇总</x:v>
      </x:c>
      <x:c r="D31" s="50" t="str">
        <x:v>—</x:v>
      </x:c>
      <x:c r="E31" s="50" t="str">
        <x:v>奖励</x:v>
      </x:c>
      <x:c r="F31" s="50" t="str">
        <x:v>资源</x:v>
      </x:c>
      <x:c r="G31" s="50" t="str">
        <x:v>魂晶</x:v>
      </x:c>
      <x:c r="H31" s="80" t="n">
        <x:v>100</x:v>
      </x:c>
      <x:c r="I31" s="50" t="str">
        <x:v>立即</x:v>
      </x:c>
      <x:c r="J31" s="50" t="str">
        <x:v>解锁额外回看，同时获得魔气侵蚀1层和魂晶100</x:v>
      </x:c>
      <x:c r="K31" s="50" t="str">
        <x:v>#### 场景 M1-04：万修之门残碑</x:v>
      </x:c>
    </x:row>
    <x:row r="32" ht="56" customHeight="1">
      <x:c r="A32" s="50" t="str">
        <x:v>M1-05</x:v>
      </x:c>
      <x:c r="B32" s="50" t="str">
        <x:v>守门石灵战前</x:v>
      </x:c>
      <x:c r="C32" s="50" t="str">
        <x:v>具体节点</x:v>
      </x:c>
      <x:c r="D32" s="50" t="str">
        <x:v>不与他争，准备战斗。</x:v>
      </x:c>
      <x:c r="E32" s="50" t="str">
        <x:v>奖励</x:v>
      </x:c>
      <x:c r="F32" s="50" t="str">
        <x:v>功能/状态</x:v>
      </x:c>
      <x:c r="G32" s="50" t="str">
        <x:v>40tick伤害+5%</x:v>
      </x:c>
      <x:c r="H32" s="80" t="str"/>
      <x:c r="I32" s="50" t="str">
        <x:v>立即</x:v>
      </x:c>
      <x:c r="J32" s="50" t="str">
        <x:v>获得40tick伤害+5%</x:v>
      </x:c>
      <x:c r="K32" s="50" t="str">
        <x:v>#### 场景 M1-05：守门石灵战前</x:v>
      </x:c>
    </x:row>
    <x:row r="33" ht="56" customHeight="1">
      <x:c r="A33" s="50" t="str">
        <x:v>M1-05</x:v>
      </x:c>
      <x:c r="B33" s="50" t="str">
        <x:v>守门石灵战前</x:v>
      </x:c>
      <x:c r="C33" s="50" t="str">
        <x:v>具体节点</x:v>
      </x:c>
      <x:c r="D33" s="50" t="str">
        <x:v>章节结算</x:v>
      </x:c>
      <x:c r="E33" s="50" t="str">
        <x:v>奖励</x:v>
      </x:c>
      <x:c r="F33" s="50" t="str">
        <x:v>功能/状态</x:v>
      </x:c>
      <x:c r="G33" s="50" t="str">
        <x:v>地图2</x:v>
      </x:c>
      <x:c r="H33" s="80" t="str"/>
      <x:c r="I33" s="50" t="str">
        <x:v>立即</x:v>
      </x:c>
      <x:c r="J33" s="50" t="str">
        <x:v>解锁地图2、炼器坊/替代解锁、第一次全队调息</x:v>
      </x:c>
      <x:c r="K33" s="50" t="str">
        <x:v>#### 场景 M1-05：守门石灵战前</x:v>
      </x:c>
    </x:row>
    <x:row r="34" ht="56" customHeight="1">
      <x:c r="A34" s="50" t="str">
        <x:v>M1-05</x:v>
      </x:c>
      <x:c r="B34" s="50" t="str">
        <x:v>守门石灵战前</x:v>
      </x:c>
      <x:c r="C34" s="50" t="str">
        <x:v>具体节点</x:v>
      </x:c>
      <x:c r="D34" s="50" t="str">
        <x:v>章节结算</x:v>
      </x:c>
      <x:c r="E34" s="50" t="str">
        <x:v>奖励</x:v>
      </x:c>
      <x:c r="F34" s="50" t="str">
        <x:v>功能/状态</x:v>
      </x:c>
      <x:c r="G34" s="50" t="str">
        <x:v>炼器坊/替代解锁</x:v>
      </x:c>
      <x:c r="H34" s="80" t="str"/>
      <x:c r="I34" s="50" t="str">
        <x:v>立即</x:v>
      </x:c>
      <x:c r="J34" s="50" t="str">
        <x:v>解锁地图2、炼器坊/替代解锁、第一次全队调息</x:v>
      </x:c>
      <x:c r="K34" s="50" t="str">
        <x:v>#### 场景 M1-05：守门石灵战前</x:v>
      </x:c>
    </x:row>
    <x:row r="35" ht="56" customHeight="1">
      <x:c r="A35" s="50" t="str">
        <x:v>M1-05</x:v>
      </x:c>
      <x:c r="B35" s="50" t="str">
        <x:v>守门石灵战前</x:v>
      </x:c>
      <x:c r="C35" s="50" t="str">
        <x:v>具体节点</x:v>
      </x:c>
      <x:c r="D35" s="50" t="str">
        <x:v>章节结算</x:v>
      </x:c>
      <x:c r="E35" s="50" t="str">
        <x:v>奖励</x:v>
      </x:c>
      <x:c r="F35" s="50" t="str">
        <x:v>道具</x:v>
      </x:c>
      <x:c r="G35" s="50" t="str">
        <x:v>第一次全队调息</x:v>
      </x:c>
      <x:c r="H35" s="80" t="str"/>
      <x:c r="I35" s="50" t="str">
        <x:v>立即</x:v>
      </x:c>
      <x:c r="J35" s="50" t="str">
        <x:v>解锁地图2、炼器坊/替代解锁、第一次全队调息</x:v>
      </x:c>
      <x:c r="K35" s="50" t="str">
        <x:v>#### 场景 M1-05：守门石灵战前</x:v>
      </x:c>
    </x:row>
    <x:row r="36" ht="56" customHeight="1">
      <x:c r="A36" s="50" t="str">
        <x:v>M1-05</x:v>
      </x:c>
      <x:c r="B36" s="50" t="str">
        <x:v>守门石灵战前</x:v>
      </x:c>
      <x:c r="C36" s="50" t="str">
        <x:v>具体节点</x:v>
      </x:c>
      <x:c r="D36" s="50" t="str">
        <x:v>章节结算</x:v>
      </x:c>
      <x:c r="E36" s="50" t="str">
        <x:v>奖励</x:v>
      </x:c>
      <x:c r="F36" s="50" t="str">
        <x:v>配方</x:v>
      </x:c>
      <x:c r="G36" s="50" t="str">
        <x:v>护法令碎片配方</x:v>
      </x:c>
      <x:c r="H36" s="80" t="str"/>
      <x:c r="I36" s="50" t="str">
        <x:v>立即</x:v>
      </x:c>
      <x:c r="J36" s="50" t="str">
        <x:v>解锁护法令碎片配方与首件核心，不直接发放固定七维成品</x:v>
      </x:c>
      <x:c r="K36" s="50" t="str">
        <x:v>#### 场景 M1-05：守门石灵战前</x:v>
      </x:c>
    </x:row>
    <x:row r="37" ht="56" customHeight="1">
      <x:c r="A37" s="50" t="str">
        <x:v>M1-05</x:v>
      </x:c>
      <x:c r="B37" s="50" t="str">
        <x:v>守门石灵战前</x:v>
      </x:c>
      <x:c r="C37" s="50" t="str">
        <x:v>具体节点</x:v>
      </x:c>
      <x:c r="D37" s="50" t="str">
        <x:v>章节结算</x:v>
      </x:c>
      <x:c r="E37" s="50" t="str">
        <x:v>奖励</x:v>
      </x:c>
      <x:c r="F37" s="50" t="str">
        <x:v>道具</x:v>
      </x:c>
      <x:c r="G37" s="50" t="str">
        <x:v>首件核心，不直接发放固定七维成品</x:v>
      </x:c>
      <x:c r="H37" s="80" t="str"/>
      <x:c r="I37" s="50" t="str">
        <x:v>立即</x:v>
      </x:c>
      <x:c r="J37" s="50" t="str">
        <x:v>解锁护法令碎片配方与首件核心，不直接发放固定七维成品</x:v>
      </x:c>
      <x:c r="K37" s="50" t="str">
        <x:v>#### 场景 M1-05：守门石灵战前</x:v>
      </x:c>
    </x:row>
    <x:row r="38" ht="56" customHeight="1">
      <x:c r="A38" s="50" t="str">
        <x:v>M1-05</x:v>
      </x:c>
      <x:c r="B38" s="50" t="str">
        <x:v>守门石灵战前</x:v>
      </x:c>
      <x:c r="C38" s="50" t="str">
        <x:v>场景汇总</x:v>
      </x:c>
      <x:c r="D38" s="50" t="str">
        <x:v>—</x:v>
      </x:c>
      <x:c r="E38" s="50" t="str">
        <x:v>奖励</x:v>
      </x:c>
      <x:c r="F38" s="50" t="str">
        <x:v>功能/状态</x:v>
      </x:c>
      <x:c r="G38" s="50" t="str">
        <x:v>40tick伤害+5%</x:v>
      </x:c>
      <x:c r="H38" s="80" t="str"/>
      <x:c r="I38" s="50" t="str">
        <x:v>立即</x:v>
      </x:c>
      <x:c r="J38" s="50" t="str">
        <x:v>获得40tick伤害+5%</x:v>
      </x:c>
      <x:c r="K38" s="50" t="str">
        <x:v>#### 场景 M1-05：守门石灵战前</x:v>
      </x:c>
    </x:row>
    <x:row r="39" ht="56" customHeight="1">
      <x:c r="A39" s="50" t="str">
        <x:v>M1-05</x:v>
      </x:c>
      <x:c r="B39" s="50" t="str">
        <x:v>守门石灵战前</x:v>
      </x:c>
      <x:c r="C39" s="50" t="str">
        <x:v>场景汇总</x:v>
      </x:c>
      <x:c r="D39" s="50" t="str">
        <x:v>—</x:v>
      </x:c>
      <x:c r="E39" s="50" t="str">
        <x:v>奖励</x:v>
      </x:c>
      <x:c r="F39" s="50" t="str">
        <x:v>资源</x:v>
      </x:c>
      <x:c r="G39" s="50" t="str">
        <x:v>灵石</x:v>
      </x:c>
      <x:c r="H39" s="80" t="n">
        <x:v>100</x:v>
      </x:c>
      <x:c r="I39" s="50" t="str">
        <x:v>立即</x:v>
      </x:c>
      <x:c r="J39" s="50" t="str">
        <x:v>获得灵石100</x:v>
      </x:c>
      <x:c r="K39" s="50" t="str">
        <x:v>#### 场景 M1-05：守门石灵战前</x:v>
      </x:c>
    </x:row>
    <x:row r="40" ht="56" customHeight="1">
      <x:c r="A40" s="50" t="str">
        <x:v>M1-05</x:v>
      </x:c>
      <x:c r="B40" s="50" t="str">
        <x:v>守门石灵战前</x:v>
      </x:c>
      <x:c r="C40" s="50" t="str">
        <x:v>场景汇总</x:v>
      </x:c>
      <x:c r="D40" s="50" t="str">
        <x:v>—</x:v>
      </x:c>
      <x:c r="E40" s="50" t="str">
        <x:v>奖励</x:v>
      </x:c>
      <x:c r="F40" s="50" t="str">
        <x:v>功能/状态</x:v>
      </x:c>
      <x:c r="G40" s="50" t="str">
        <x:v>地图2</x:v>
      </x:c>
      <x:c r="H40" s="80" t="str"/>
      <x:c r="I40" s="50" t="str">
        <x:v>立即</x:v>
      </x:c>
      <x:c r="J40" s="50" t="str">
        <x:v>解锁地图2、炼器坊/替代解锁、第一次全队调息</x:v>
      </x:c>
      <x:c r="K40" s="50" t="str">
        <x:v>#### 场景 M1-05：守门石灵战前</x:v>
      </x:c>
    </x:row>
    <x:row r="41" ht="56" customHeight="1">
      <x:c r="A41" s="50" t="str">
        <x:v>M1-05</x:v>
      </x:c>
      <x:c r="B41" s="50" t="str">
        <x:v>守门石灵战前</x:v>
      </x:c>
      <x:c r="C41" s="50" t="str">
        <x:v>场景汇总</x:v>
      </x:c>
      <x:c r="D41" s="50" t="str">
        <x:v>—</x:v>
      </x:c>
      <x:c r="E41" s="50" t="str">
        <x:v>奖励</x:v>
      </x:c>
      <x:c r="F41" s="50" t="str">
        <x:v>功能/状态</x:v>
      </x:c>
      <x:c r="G41" s="50" t="str">
        <x:v>炼器坊/替代解锁</x:v>
      </x:c>
      <x:c r="H41" s="80" t="str"/>
      <x:c r="I41" s="50" t="str">
        <x:v>立即</x:v>
      </x:c>
      <x:c r="J41" s="50" t="str">
        <x:v>解锁地图2、炼器坊/替代解锁、第一次全队调息</x:v>
      </x:c>
      <x:c r="K41" s="50" t="str">
        <x:v>#### 场景 M1-05：守门石灵战前</x:v>
      </x:c>
    </x:row>
    <x:row r="42" ht="56" customHeight="1">
      <x:c r="A42" s="50" t="str">
        <x:v>M1-05</x:v>
      </x:c>
      <x:c r="B42" s="50" t="str">
        <x:v>守门石灵战前</x:v>
      </x:c>
      <x:c r="C42" s="50" t="str">
        <x:v>场景汇总</x:v>
      </x:c>
      <x:c r="D42" s="50" t="str">
        <x:v>—</x:v>
      </x:c>
      <x:c r="E42" s="50" t="str">
        <x:v>奖励</x:v>
      </x:c>
      <x:c r="F42" s="50" t="str">
        <x:v>道具</x:v>
      </x:c>
      <x:c r="G42" s="50" t="str">
        <x:v>第一次全队调息</x:v>
      </x:c>
      <x:c r="H42" s="80" t="str"/>
      <x:c r="I42" s="50" t="str">
        <x:v>立即</x:v>
      </x:c>
      <x:c r="J42" s="50" t="str">
        <x:v>解锁地图2、炼器坊/替代解锁、第一次全队调息</x:v>
      </x:c>
      <x:c r="K42" s="50" t="str">
        <x:v>#### 场景 M1-05：守门石灵战前</x:v>
      </x:c>
    </x:row>
    <x:row r="43" ht="56" customHeight="1">
      <x:c r="A43" s="50" t="str">
        <x:v>M1-05</x:v>
      </x:c>
      <x:c r="B43" s="50" t="str">
        <x:v>守门石灵战前</x:v>
      </x:c>
      <x:c r="C43" s="50" t="str">
        <x:v>场景汇总</x:v>
      </x:c>
      <x:c r="D43" s="50" t="str">
        <x:v>—</x:v>
      </x:c>
      <x:c r="E43" s="50" t="str">
        <x:v>奖励</x:v>
      </x:c>
      <x:c r="F43" s="50" t="str">
        <x:v>配方</x:v>
      </x:c>
      <x:c r="G43" s="50" t="str">
        <x:v>护法令碎片配方</x:v>
      </x:c>
      <x:c r="H43" s="80" t="str"/>
      <x:c r="I43" s="50" t="str">
        <x:v>立即</x:v>
      </x:c>
      <x:c r="J43" s="50" t="str">
        <x:v>解锁护法令碎片配方与首件核心，不直接发放固定七维成品</x:v>
      </x:c>
      <x:c r="K43" s="50" t="str">
        <x:v>#### 场景 M1-05：守门石灵战前</x:v>
      </x:c>
    </x:row>
    <x:row r="44" ht="56" customHeight="1">
      <x:c r="A44" s="51" t="str">
        <x:v>M1-05</x:v>
      </x:c>
      <x:c r="B44" s="51" t="str">
        <x:v>守门石灵战前</x:v>
      </x:c>
      <x:c r="C44" s="51" t="str">
        <x:v>场景汇总</x:v>
      </x:c>
      <x:c r="D44" s="51" t="str">
        <x:v>—</x:v>
      </x:c>
      <x:c r="E44" s="51" t="str">
        <x:v>奖励</x:v>
      </x:c>
      <x:c r="F44" s="51" t="str">
        <x:v>道具</x:v>
      </x:c>
      <x:c r="G44" s="51" t="str">
        <x:v>首件核心，不直接发放固定七维成品</x:v>
      </x:c>
      <x:c r="H44" s="81" t="str"/>
      <x:c r="I44" s="51" t="str">
        <x:v>立即</x:v>
      </x:c>
      <x:c r="J44" s="51" t="str">
        <x:v>解锁护法令碎片配方与首件核心，不直接发放固定七维成品</x:v>
      </x:c>
      <x:c r="K44" s="51" t="str">
        <x:v>#### 场景 M1-05：守门石灵战前</x:v>
      </x:c>
    </x:row>
  </x:sheetData>
  <x:mergeCells>
    <x:mergeCell ref="A1:K1"/>
    <x:mergeCell ref="A2:K2"/>
  </x:mergeCells>
  <x:conditionalFormatting sqref="E5:E44">
    <x:cfRule type="containsText" dxfId="4" priority="1" operator="containsText" text="奖励"/>
    <x:cfRule type="containsText" dxfId="5" priority="2" operator="containsText" text="消耗"/>
  </x:conditionalFormatting>
  <x:pageMargins left="0.7" right="0.7" top="0.75" bottom="0.75" header="0.3" footer="0.3"/>
  <x:tableParts count="1">
    <x:tablePart xmlns:r="http://schemas.openxmlformats.org/officeDocument/2006/relationships" r:id="R08f8789b5da943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4.440000534057617" hidden="0" customWidth="1"/>
    <x:col min="3" max="3" width="84.44000244140625" hidden="0" customWidth="1"/>
  </x:cols>
  <x:sheetData>
    <x:row r="1" ht="34" customHeight="1">
      <x:c r="A1" s="3" t="str">
        <x:v>C01 原文场景</x:v>
      </x:c>
      <x:c r="B1" s="3"/>
      <x:c r="C1" s="3"/>
    </x:row>
    <x:row r="2" ht="23" customHeight="1">
      <x:c r="A2" s="6" t="str">
        <x:v>每个场景保留同步时的完整 Markdown 快照，供策划逐字核对；整理表不替代事实源</x:v>
      </x:c>
      <x:c r="B2" s="6"/>
      <x:c r="C2" s="6"/>
    </x:row>
    <x:row r="4" ht="30" customHeight="1">
      <x:c r="A4" s="38" t="str">
        <x:v>场景</x:v>
      </x:c>
      <x:c r="B4" s="39" t="str">
        <x:v>来源标题</x:v>
      </x:c>
      <x:c r="C4" s="40" t="str">
        <x:v>完整原文快照</x:v>
      </x:c>
    </x:row>
    <x:row r="5" ht="210" customHeight="1">
      <x:c r="A5" s="49" t="str">
        <x:v>M1-01</x:v>
      </x:c>
      <x:c r="B5" s="49" t="str">
        <x:v>#### 场景 M1-01：第一盏阵灯</x:v>
      </x:c>
      <x:c r="C5" s="49" t="str">
        <x:v>触发：进入`map_01`并到达 `(21,52)`。  
人物：四名修士。
```text
陆清：灯芯完整，阵纹却反了。
石岩：反了会怎样？
陆清：它在从山外向山里送灵力。
墨言：不是坏，是有人改过。
白灵：地上有拖痕。人被带走了。
```
方法选项：
1. `让陆清校正阵纹。` → 法力MAX≥18成功；消耗灵晶1；无战斗；`seal_integrity+1`。
2. `用开山镐拆掉外壳。` → 本次出征已启用开山镐时可选；取得玄铁3；引来噬灵鼠群，
   不在对象交互时再次扣除开山镐。
3. `保留反阵，追查灵力去向。` → 不立刻修复；揭示一条隐藏路径；稍后必须返回修灯，
   且下一场阵灵敌人伤害+10%。
汇流：阵灯最终修复，记录`ye_evidence`线索“反向阵纹”。</x:v>
      </x:c>
    </x:row>
    <x:row r="6" ht="210" customHeight="1">
      <x:c r="A6" s="50" t="str">
        <x:v>M1-02</x:v>
      </x:c>
      <x:c r="B6" s="50" t="str">
        <x:v>#### 场景 M1-02：顾南炉的求救</x:v>
      </x:c>
      <x:c r="C6" s="50" t="str">
        <x:v>触发：山腹暗道入口 `(8,28)`。  
人物：顾南炉、队伍。
```text
顾南炉：别敲！上面整片都要塌！
石岩：里面有人。
墨言：也可能有人学得很像。
顾南炉：我有名字！顾南炉！
顾南炉：叶家雇我修阵器，又要灭口。
```
选项：
1. `用开山镐按他说的位置破岩。` → 本次出征已启用开山镐时可选；无伤救出；
   `saved_gu_nanlu=true`，不在对象交互时再次扣除开山镐。
2. `让石岩强行抬开。` → 全队力道SUM≥55成功；石岩损失15%当前生命；无需开山镐。
3. `先让他证明身份。` → 顾南炉说出营地旧炉编号；若读过废营粮册可识别，`cen_trust+1`；
   否则延迟救援并触发落石敌群。
4. `离开。` → 明示“继续深入后顾南炉可能死亡”；二次确认。离开后完成两场战斗再回来，
   只能找到遗物，炼器坊延迟到地图2商人事件解锁。
救出后：
```text
顾南炉：他们把阵灯改成了抽灵钉。
陆清：谁给你的图？
顾南炉：叶家监阵使，叶观衡。
顾南炉：可第二张图，又让我改回去。
墨言：同一只手，下了两道反命令。
```
结算：获得两份阵器拓图，`ye_evidence+1`；回营后顾南炉入驻并解锁炼器坊，同时交付符心佩
配方与首件核心。首次打造需提交上品铁胚和蓝图要求的器纹，七维由提交的器纹决定。</x:v>
      </x:c>
    </x:row>
    <x:row r="7" ht="210" customHeight="1">
      <x:c r="A7" s="50" t="str">
        <x:v>M1-03</x:v>
      </x:c>
      <x:c r="B7" s="50" t="str">
        <x:v>#### 场景 M1-03：两份开山令</x:v>
      </x:c>
      <x:c r="C7" s="50" t="str">
        <x:v>触发：叶家先遣尸首事件。  
人物：白灵、墨言、队伍。
```text
白灵：死者胸口没有石灵伤。
白灵：经脉从内侧被抽空了。
墨言：袖中两道命令，印都是真的。
墨言：一道重封，一道抽阵。
石岩：叶家自己人在互杀？
```
选项：
1. `带走两份命令。` → `ye_evidence+1`；占任务物栏，不占负重。
2. `焚去抽阵令，只留重封令。` → 获得短期“叶家善意”风味，`ye_evidence`不增加；墨言反对。
3. `拓印后原样放回。` → 神识MAX≥25成功；`ye_evidence+1`，第三章可伏击回来取令的人。
白灵追问：
```text
白灵：这些人也许还能引魂问话。
白灵：但要把遗体带回去。
```
1. `带回。` → 占负重12；回营解锁乌婆；获得魂晶80。
2. `就地安葬。` → 全队恢复10%生命；`ending_evaluation`倾向守封者。
3. `先搜装备。` → 得玄铁8和灵石60；`demonic_taint`不变，但白灵后续有批评台词。</x:v>
      </x:c>
    </x:row>
    <x:row r="8" ht="210" customHeight="1">
      <x:c r="A8" s="50" t="str">
        <x:v>M1-04</x:v>
      </x:c>
      <x:c r="B8" s="50" t="str">
        <x:v>#### 场景 M1-04：万修之门残碑</x:v>
      </x:c>
      <x:c r="C8" s="50" t="str">
        <x:v>触发：到达 `(24,42)`。  
人物：岑守一远程传讯、队伍。
```text
岑守一：碑上原有万修二字。
陆清：现在多了一道新刻痕。
墨言：像门，又像一只竖眼。
岑守一：别碰。十二年前也出现过。
玩家：营印在发热。
残碑：阵录十三，持外印者归位。
岑守一：……把传讯断了。现在。
```
强制结算：`identity_clues=max(当前,2)`，身份档案新增“阵录十三”。即使玩家立即离开，营印反应也已记录，
不能因未选触碰选项而错过身份主线。
选项：
1. `追问十二年前。` → 若`cen_trust≥1`，岑承认旧队失踪；否则切断传讯。
2. `让陆清记录阵纹。` → 得残碑拓印，地图2检定+10。
3. `以总印触碰刻痕。` → 看见十二道背影和一只握印的手；解锁额外回看，同时获得魔气侵蚀1层和魂晶100。</x:v>
      </x:c>
    </x:row>
    <x:row r="9" ht="210" customHeight="1">
      <x:c r="A9" s="51" t="str">
        <x:v>M1-05</x:v>
      </x:c>
      <x:c r="B9" s="51" t="str">
        <x:v>#### 场景 M1-05：守门石灵战前</x:v>
      </x:c>
      <x:c r="C9" s="51" t="str">
        <x:v>触发：接近 `(24,8)`。  
人物：叶观衡首次传讯、队伍。
```text
叶观衡：外营的人，退下。
叶观衡：石灵奉叶家古令守门。
叶观衡：你们无权触碰它的核心。
墨言：活人不露面，只让石头杀人。
石岩：若它还守门，为何朝山外打？
```
选项：
1. `出示两份命令。` → 需持有；叶观衡沉默后称其中一份伪造；`ye_guanheng_exposed`进度+1。
2. `要求叶观衡现身。` → 他拒绝；石灵开场反震计数少1层。
3. `不与他争，准备战斗。` → 全队获得40tick伤害+5%。
战斗后：
```text
陆清：核心里的命令，不是守门。
陆清：是“清除外来见证者”。
白灵：先遣队也被算作见证者。
陆清：可它把营印标作“旧营继任”。
玩家：这道继任令，是十二年前写的。
叶观衡：你们看见的，只是一层命令。
叶观衡：来白玉广场。我给你们解释。
墨言：他说的是“来”，不是“请”。
```
章节选择：
1. `去听他的解释。` → 地图2初见时叶观衡态度缓和。
2. `先把证据交给岑守一。` → `cen_trust+1`；地图2入口多一个伏兵。
3. `公开传讯，通知其他入山修士。` → 获得灵石100；叶家敌群警觉范围扩大一格。
章节结算：`seal_integrity+1`，解锁地图2、炼器坊/替代解锁、第一次全队调息；石灵核心同时
解锁护法令碎片配方与首件核心，不直接发放固定七维成品。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cb78ee107bd4f99"/>
  </x:tableParts>
</x:worksheet>
</file>